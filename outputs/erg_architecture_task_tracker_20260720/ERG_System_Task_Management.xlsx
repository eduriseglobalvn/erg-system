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87397c259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78591cbc6e14188"/>
    <x:sheet xmlns:r="http://schemas.openxmlformats.org/officeDocument/2006/relationships" name="Danh sách Task" sheetId="2" r:id="R75cc55de680e4325"/>
    <x:sheet xmlns:r="http://schemas.openxmlformats.org/officeDocument/2006/relationships" name="BE Tasks" sheetId="3" r:id="Rd65a483ac1ea4e92"/>
    <x:sheet xmlns:r="http://schemas.openxmlformats.org/officeDocument/2006/relationships" name="Danh mục" sheetId="4" r:id="R65e156157c3d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7"/>
      <x:color rgb="FFFFFFFF"/>
      <x:name val="Carlito"/>
    </x:font>
    <x:font>
      <x:i/>
      <x:sz val="11"/>
      <x:color rgb="FF4B5563"/>
      <x:name val="Carlito"/>
    </x:font>
    <x:font>
      <x:i/>
      <x:sz val="11"/>
      <x:color rgb="FF065F46"/>
      <x:name val="Carlito"/>
    </x:font>
    <x:font>
      <x:b/>
      <x:sz val="20"/>
      <x:color rgb="FFFFFFFF"/>
      <x:name val="Carlito"/>
    </x:font>
    <x:font>
      <x:b/>
      <x:sz val="10"/>
      <x:color rgb="FF1E3A8A"/>
      <x:name val="Carlito"/>
    </x:font>
    <x:font>
      <x:b/>
      <x:sz val="22"/>
      <x:color rgb="FF111827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3D3E"/>
      </x:patternFill>
    </x:fill>
    <x:fill>
      <x:patternFill patternType="solid">
        <x:fgColor rgb="FFECFDF5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1FAE5"/>
      </x:patternFill>
    </x:fill>
  </x:fills>
  <x:borders count="2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9" borderId="10" xfId="0" applyNumberFormat="1" applyFont="1" applyFill="1" applyBorder="1"/>
    <x:xf numFmtId="0" fontId="7" fillId="9" borderId="10" xfId="0" applyNumberFormat="1" applyFont="1" applyFill="1" applyBorder="1"/>
    <x:xf numFmtId="0" fontId="7" fillId="9" borderId="10" xfId="0" applyNumberFormat="1" applyFont="1" applyFill="1" applyBorder="1" applyAlignment="1">
      <x:alignment horizontal="center"/>
    </x:xf>
    <x:xf numFmtId="0" fontId="8" fillId="8" borderId="12" xfId="0" applyNumberFormat="1" applyFont="1" applyFill="1" applyBorder="1"/>
    <x:xf numFmtId="0" fontId="8" fillId="8" borderId="12" xfId="0" applyNumberFormat="1" applyFont="1" applyFill="1" applyBorder="1" applyAlignment="1">
      <x:alignment horizontal="center"/>
    </x:xf>
    <x:xf numFmtId="0" fontId="8" fillId="8" borderId="12" xfId="0" applyNumberFormat="1" applyFont="1" applyFill="1" applyBorder="1" applyAlignment="1">
      <x:alignment horizontal="center" vertical="center"/>
    </x:xf>
    <x:xf numFmtId="202" fontId="8" fillId="8" borderId="12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3" xfId="0" applyNumberFormat="1" applyFont="1" applyFill="1" applyBorder="1"/>
    <x:xf numFmtId="0" fontId="9" fillId="2" borderId="2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4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/>
    <x:xf numFmtId="0" fontId="0" fillId="0" borderId="20" xfId="0" applyNumberFormat="1" applyFont="1" applyFill="1" applyBorder="1"/>
    <x:xf numFmtId="0" fontId="0" fillId="0" borderId="10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5a85df28a45bd" /><Relationship Type="http://schemas.openxmlformats.org/officeDocument/2006/relationships/theme" Target="/xl/theme/theme1.xml" Id="Ref86758995324636" /><Relationship Type="http://schemas.openxmlformats.org/officeDocument/2006/relationships/sharedStrings" Target="/xl/sharedStrings.xml" Id="Raa7b46870b7f4e82" /><Relationship Type="http://schemas.openxmlformats.org/officeDocument/2006/relationships/worksheet" Target="/xl/worksheets/sheet1.xml" Id="R778591cbc6e14188" /><Relationship Type="http://schemas.openxmlformats.org/officeDocument/2006/relationships/worksheet" Target="/xl/worksheets/sheet2.xml" Id="R75cc55de680e4325" /><Relationship Type="http://schemas.openxmlformats.org/officeDocument/2006/relationships/worksheet" Target="/xl/worksheets/sheet3.xml" Id="Rd65a483ac1ea4e92" /><Relationship Type="http://schemas.openxmlformats.org/officeDocument/2006/relationships/worksheet" Target="/xl/worksheets/sheet4.xml" Id="R65e156157c3d44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fd6d2c550648fe" /><Relationship Type="http://schemas.openxmlformats.org/officeDocument/2006/relationships/chart" Target="/xl/drawings/charts/chart2.xml" Id="Rb741a59fa37e46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Phân bổ task theo trạng thái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Số task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theo LMS / LCMS / CRM / ELEARNING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Tổng task</c:v>
          </c:tx>
          <c:cat>
            <c:strRef>
              <c:f>'Dashboard'!$A$30:$A$34</c:f>
              <c:strCache>
                <c:ptCount val="0"/>
              </c:strCache>
            </c:strRef>
          </c:cat>
          <c:val>
            <c:numRef>
              <c:f>'Dashboard'!$B$30:$B$34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Còn mở</c:v>
          </c:tx>
          <c:cat>
            <c:strRef>
              <c:f>'Dashboard'!$A$30:$A$34</c:f>
              <c:strCache>
                <c:ptCount val="0"/>
              </c:strCache>
            </c:strRef>
          </c:cat>
          <c:val>
            <c:numRef>
              <c:f>'Dashboard'!$C$30:$C$34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fd6d2c550648fe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41a59fa37e46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rgArchitectureTasks" displayName="ErgArchitectureTasks" ref="A5:R48" headerRowCount="1" totalsRowCount="0" totalsRowShown="0">
  <x:autoFilter ref="A5:R48"/>
  <x:tableColumns count="18">
    <x:tableColumn id="1" name="ID"/>
    <x:tableColumn id="2" name="Giai đoạn"/>
    <x:tableColumn id="3" name="Portal"/>
    <x:tableColumn id="4" name="Nhóm"/>
    <x:tableColumn id="5" name="Task"/>
    <x:tableColumn id="6" name="Mô tả"/>
    <x:tableColumn id="7" name="Ưu tiên"/>
    <x:tableColumn id="8" name="Trạng thái"/>
    <x:tableColumn id="9" name="Effort"/>
    <x:tableColumn id="10" name="Owner"/>
    <x:tableColumn id="11" name="Sprint"/>
    <x:tableColumn id="12" name="Bắt đầu"/>
    <x:tableColumn id="13" name="Hạn"/>
    <x:tableColumn id="14" name="Tiến độ"/>
    <x:tableColumn id="15" name="Rủi ro"/>
    <x:tableColumn id="16" name="Phụ thuộc"/>
    <x:tableColumn id="17" name="Tiêu chí hoàn thành"/>
    <x:tableColumn id="18" name="File/Phạm v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gSpringBackendTasks" displayName="ErgSpringBackendTasks" ref="A5:R23" headerRowCount="1" totalsRowCount="0" totalsRowShown="0">
  <x:autoFilter ref="A5:R23"/>
  <x:tableColumns count="18">
    <x:tableColumn id="1" name="ID"/>
    <x:tableColumn id="2" name="Giai đoạn"/>
    <x:tableColumn id="3" name="Portal"/>
    <x:tableColumn id="4" name="Nhóm"/>
    <x:tableColumn id="5" name="Task"/>
    <x:tableColumn id="6" name="Mô tả"/>
    <x:tableColumn id="7" name="Ưu tiên"/>
    <x:tableColumn id="8" name="Trạng thái"/>
    <x:tableColumn id="9" name="Effort"/>
    <x:tableColumn id="10" name="Owner"/>
    <x:tableColumn id="11" name="Sprint"/>
    <x:tableColumn id="12" name="Bắt đầu"/>
    <x:tableColumn id="13" name="Hạn"/>
    <x:tableColumn id="14" name="Tiến độ"/>
    <x:tableColumn id="15" name="Rủi ro"/>
    <x:tableColumn id="16" name="Phụ thuộc"/>
    <x:tableColumn id="17" name="Tiêu chí hoàn thành"/>
    <x:tableColumn id="18" name="File/Phạm v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92e01eaea245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94dce4141649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a9e0afbcf145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8" hidden="0" customWidth="1"/>
    <x:col min="4" max="4" width="13" hidden="0" customWidth="1"/>
    <x:col min="5" max="5" width="13" hidden="0" customWidth="1"/>
    <x:col min="6" max="6" width="3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27" t="str">
        <x:v>ERG SYSTEM — TASK REPORT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0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 ht="24" customHeight="1">
      <x:c r="A3" s="17" t="str">
        <x:v>Báo cáo tự động từ sheet “Danh sách Task” • Cập nhật ngày 2026-07-20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5">
      <x:c r="A5" s="37" t="str">
        <x:v>TỔNG TASK</x:v>
      </x:c>
      <x:c r="B5" s="30"/>
      <x:c r="C5" s="37" t="str">
        <x:v>HOÀN THÀNH</x:v>
      </x:c>
      <x:c r="D5" s="30"/>
      <x:c r="E5" s="37" t="str">
        <x:v>ĐANG LÀM</x:v>
      </x:c>
      <x:c r="F5" s="30"/>
      <x:c r="G5" s="37" t="str">
        <x:v>CHƯA LÀM</x:v>
      </x:c>
      <x:c r="H5" s="30"/>
      <x:c r="I5" s="37" t="str">
        <x:v>P0 CÒN MỞ</x:v>
      </x:c>
      <x:c r="J5" s="30"/>
      <x:c r="K5" s="37" t="str">
        <x:v>TIẾN ĐỘ TB</x:v>
      </x:c>
      <x:c r="L5" s="30"/>
    </x:row>
    <x:row r="6">
      <x:c r="A6" s="40" t="n">
        <x:f>COUNTA('Danh sách Task'!$A$6:$A$205)+COUNTA('BE Tasks'!$A$6:$A$205)</x:f>
        <x:v>61</x:v>
      </x:c>
      <x:c r="B6" s="32"/>
      <x:c r="C6" s="40" t="n">
        <x:f>COUNTIF('Danh sách Task'!$H$6:$H$205,"Hoàn thành")+COUNTIF('BE Tasks'!$H$6:$H$205,"Hoàn thành")</x:f>
        <x:v>11</x:v>
      </x:c>
      <x:c r="D6" s="32"/>
      <x:c r="E6" s="40" t="n">
        <x:f>COUNTIF('Danh sách Task'!$H$6:$H$205,"Đang làm")+COUNTIF('BE Tasks'!$H$6:$H$205,"Đang làm")</x:f>
        <x:v>1</x:v>
      </x:c>
      <x:c r="F6" s="32"/>
      <x:c r="G6" s="40" t="n">
        <x:f>COUNTIF('Danh sách Task'!$H$6:$H$205,"Chưa làm")+COUNTIF('BE Tasks'!$H$6:$H$205,"Chưa làm")</x:f>
        <x:v>49</x:v>
      </x:c>
      <x:c r="H6" s="32"/>
      <x:c r="I6" s="40" t="n">
        <x:f>COUNTIFS('Danh sách Task'!$G$6:$G$205,"P0",'Danh sách Task'!$H$6:$H$205,"&lt;&gt;Hoàn thành")+COUNTIFS('BE Tasks'!$G$6:$G$205,"P0",'BE Tasks'!$H$6:$H$205,"&lt;&gt;Hoàn thành")</x:f>
        <x:v>20</x:v>
      </x:c>
      <x:c r="J6" s="32"/>
      <x:c r="K6" s="41" t="n">
        <x:f>IFERROR((SUM('Danh sách Task'!$N$6:$N$205)+SUM('BE Tasks'!$N$6:$N$205))/(COUNT('Danh sách Task'!$N$6:$N$205)+COUNT('BE Tasks'!$N$6:$N$205)),0)</x:f>
        <x:v>0.18360655737704917</x:v>
      </x:c>
      <x:c r="L6" s="32"/>
    </x:row>
    <x:row r="7">
      <x:c r="A7" s="33"/>
      <x:c r="B7" s="34"/>
      <x:c r="C7" s="33"/>
      <x:c r="D7" s="34"/>
      <x:c r="E7" s="33"/>
      <x:c r="F7" s="34"/>
      <x:c r="G7" s="33"/>
      <x:c r="H7" s="34"/>
      <x:c r="I7" s="33"/>
      <x:c r="J7" s="34"/>
      <x:c r="K7" s="33"/>
      <x:c r="L7" s="34"/>
    </x:row>
    <x:row r="10">
      <x:c r="A10" s="4" t="str">
        <x:v>TÌNH TRẠNG THỰC THI</x:v>
      </x:c>
      <x:c r="B10" s="4"/>
      <x:c r="C10" s="4"/>
      <x:c r="D10" s="4"/>
      <x:c r="E10" s="4"/>
      <x:c r="F10" s="4"/>
    </x:row>
    <x:row r="11">
      <x:c r="A11" s="43" t="str">
        <x:v>Trạng thái</x:v>
      </x:c>
      <x:c r="B11" s="44" t="str">
        <x:v>Số task</x:v>
      </x:c>
      <x:c r="D11" s="43" t="str">
        <x:v>Ưu tiên</x:v>
      </x:c>
      <x:c r="E11" s="44" t="str">
        <x:v>Task còn mở</x:v>
      </x:c>
    </x:row>
    <x:row r="12">
      <x:c r="A12" s="8" t="str">
        <x:v>Hoàn thành</x:v>
      </x:c>
      <x:c r="B12" s="10" t="n">
        <x:f>COUNTIF('Danh sách Task'!$H$6:$H$205,A12)+COUNTIF('BE Tasks'!$H$6:$H$205,A12)</x:f>
        <x:v>11</x:v>
      </x:c>
      <x:c r="D12" s="8" t="str">
        <x:v>P0</x:v>
      </x:c>
      <x:c r="E12" s="10" t="n">
        <x:f>COUNTIFS('Danh sách Task'!$G$6:$G$205,D12,'Danh sách Task'!$H$6:$H$205,"&lt;&gt;Hoàn thành")+COUNTIFS('BE Tasks'!$G$6:$G$205,D12,'BE Tasks'!$H$6:$H$205,"&lt;&gt;Hoàn thành")</x:f>
        <x:v>20</x:v>
      </x:c>
    </x:row>
    <x:row r="13">
      <x:c r="A13" s="8" t="str">
        <x:v>Đang làm</x:v>
      </x:c>
      <x:c r="B13" s="10" t="n">
        <x:f>COUNTIF('Danh sách Task'!$H$6:$H$205,A13)+COUNTIF('BE Tasks'!$H$6:$H$205,A13)</x:f>
        <x:v>1</x:v>
      </x:c>
      <x:c r="D13" s="8" t="str">
        <x:v>P1</x:v>
      </x:c>
      <x:c r="E13" s="10" t="n">
        <x:f>COUNTIFS('Danh sách Task'!$G$6:$G$205,D13,'Danh sách Task'!$H$6:$H$205,"&lt;&gt;Hoàn thành")+COUNTIFS('BE Tasks'!$G$6:$G$205,D13,'BE Tasks'!$H$6:$H$205,"&lt;&gt;Hoàn thành")</x:f>
        <x:v>26</x:v>
      </x:c>
    </x:row>
    <x:row r="14">
      <x:c r="A14" s="8" t="str">
        <x:v>Bị chặn</x:v>
      </x:c>
      <x:c r="B14" s="10" t="n">
        <x:f>COUNTIF('Danh sách Task'!$H$6:$H$205,A14)+COUNTIF('BE Tasks'!$H$6:$H$205,A14)</x:f>
        <x:v>0</x:v>
      </x:c>
      <x:c r="D14" s="8" t="str">
        <x:v>P2</x:v>
      </x:c>
      <x:c r="E14" s="10" t="n">
        <x:f>COUNTIFS('Danh sách Task'!$G$6:$G$205,D14,'Danh sách Task'!$H$6:$H$205,"&lt;&gt;Hoàn thành")+COUNTIFS('BE Tasks'!$G$6:$G$205,D14,'BE Tasks'!$H$6:$H$205,"&lt;&gt;Hoàn thành")</x:f>
        <x:v>4</x:v>
      </x:c>
    </x:row>
    <x:row r="15">
      <x:c r="A15" s="11" t="str">
        <x:v>Chưa làm</x:v>
      </x:c>
      <x:c r="B15" s="13" t="n">
        <x:f>COUNTIF('Danh sách Task'!$H$6:$H$205,A15)+COUNTIF('BE Tasks'!$H$6:$H$205,A15)</x:f>
        <x:v>49</x:v>
      </x:c>
      <x:c r="D15" s="11" t="str">
        <x:v>Tổng effort mở</x:v>
      </x:c>
      <x:c r="E15" s="13" t="n">
        <x:f>SUMIF('Danh sách Task'!$H$6:$H$205,"&lt;&gt;Hoàn thành",'Danh sách Task'!$I$6:$I$205)+SUMIF('BE Tasks'!$H$6:$H$205,"&lt;&gt;Hoàn thành",'BE Tasks'!$I$6:$I$205)</x:f>
        <x:v>465</x:v>
      </x:c>
    </x:row>
    <x:row r="18">
      <x:c r="A18" s="4" t="str">
        <x:v>ƯU TIÊN THỰC HIỆN TIẾP THEO</x:v>
      </x:c>
      <x:c r="B18" s="4"/>
      <x:c r="C18" s="4"/>
      <x:c r="D18" s="4"/>
      <x:c r="E18" s="4"/>
      <x:c r="F18" s="4"/>
    </x:row>
    <x:row r="19" ht="30" customHeight="1">
      <x:c r="A19" s="43" t="str">
        <x:v>Thứ tự</x:v>
      </x:c>
      <x:c r="B19" s="45" t="str">
        <x:v>ID</x:v>
      </x:c>
      <x:c r="C19" s="45" t="str">
        <x:v>Task</x:v>
      </x:c>
      <x:c r="D19" s="45" t="str">
        <x:v>Ưu tiên</x:v>
      </x:c>
      <x:c r="E19" s="45" t="str">
        <x:v>Rủi ro</x:v>
      </x:c>
      <x:c r="F19" s="44" t="str">
        <x:v>Lý do</x:v>
      </x:c>
    </x:row>
    <x:row r="20" ht="30" customHeight="1">
      <x:c r="A20" s="8" t="n">
        <x:v>1</x:v>
      </x:c>
      <x:c r="B20" s="9" t="str">
        <x:v>ERG-013</x:v>
      </x:c>
      <x:c r="C20" s="46" t="str">
        <x:v>Tách Calendar god file</x:v>
      </x:c>
      <x:c r="D20" s="46" t="str">
        <x:v>P0</x:v>
      </x:c>
      <x:c r="E20" s="46" t="str">
        <x:v>Cao</x:v>
      </x:c>
      <x:c r="F20" s="47" t="str">
        <x:v>2.852 dòng, nhiều trách nhiệm</x:v>
      </x:c>
    </x:row>
    <x:row r="21" ht="30" customHeight="1">
      <x:c r="A21" s="8" t="n">
        <x:v>2</x:v>
      </x:c>
      <x:c r="B21" s="9" t="str">
        <x:v>ERG-014</x:v>
      </x:c>
      <x:c r="C21" s="46" t="str">
        <x:v>Tách Question Bank god file</x:v>
      </x:c>
      <x:c r="D21" s="46" t="str">
        <x:v>P0</x:v>
      </x:c>
      <x:c r="E21" s="46" t="str">
        <x:v>Cao</x:v>
      </x:c>
      <x:c r="F21" s="47" t="str">
        <x:v>2.474 dòng, khó test và review</x:v>
      </x:c>
    </x:row>
    <x:row r="22" ht="30" customHeight="1">
      <x:c r="A22" s="8" t="n">
        <x:v>3</x:v>
      </x:c>
      <x:c r="B22" s="9" t="str">
        <x:v>ERG-015</x:v>
      </x:c>
      <x:c r="C22" s="46" t="str">
        <x:v>Typed REST operation</x:v>
      </x:c>
      <x:c r="D22" s="46" t="str">
        <x:v>P0</x:v>
      </x:c>
      <x:c r="E22" s="46" t="str">
        <x:v>Cao</x:v>
      </x:c>
      <x:c r="F22" s="47" t="str">
        <x:v>BE đổi field phải làm FE fail sớm</x:v>
      </x:c>
    </x:row>
    <x:row r="23" ht="30" customHeight="1">
      <x:c r="A23" s="8" t="n">
        <x:v>4</x:v>
      </x:c>
      <x:c r="B23" s="9" t="str">
        <x:v>ERG-018</x:v>
      </x:c>
      <x:c r="C23" s="46" t="str">
        <x:v>GraphQL Code Generator</x:v>
      </x:c>
      <x:c r="D23" s="46" t="str">
        <x:v>P0</x:v>
      </x:c>
      <x:c r="E23" s="46" t="str">
        <x:v>Cao</x:v>
      </x:c>
      <x:c r="F23" s="47" t="str">
        <x:v>Giảm query string không type-safe</x:v>
      </x:c>
    </x:row>
    <x:row r="24" ht="30" customHeight="1">
      <x:c r="A24" s="8" t="n">
        <x:v>5</x:v>
      </x:c>
      <x:c r="B24" s="9" t="str">
        <x:v>ERG-030</x:v>
      </x:c>
      <x:c r="C24" s="46" t="str">
        <x:v>Integration test API/GraphQL</x:v>
      </x:c>
      <x:c r="D24" s="46" t="str">
        <x:v>P0</x:v>
      </x:c>
      <x:c r="E24" s="46" t="str">
        <x:v>Cao</x:v>
      </x:c>
      <x:c r="F24" s="47" t="str">
        <x:v>Bắt cancellation, partial error và tenant regression</x:v>
      </x:c>
    </x:row>
    <x:row r="25" ht="30" customHeight="1">
      <x:c r="A25" s="11" t="n">
        <x:v>6</x:v>
      </x:c>
      <x:c r="B25" s="12" t="str">
        <x:v>ERG-042</x:v>
      </x:c>
      <x:c r="C25" s="48" t="str">
        <x:v>Chuẩn hóa cache key 4 portal</x:v>
      </x:c>
      <x:c r="D25" s="48" t="str">
        <x:v>P0</x:v>
      </x:c>
      <x:c r="E25" s="48" t="str">
        <x:v>Cao</x:v>
      </x:c>
      <x:c r="F25" s="49" t="str">
        <x:v>Không chia sẻ cache sai scope giữa LMS/LCMS/CRM/ELEARNING</x:v>
      </x:c>
    </x:row>
    <x:row r="28">
      <x:c r="A28" s="4" t="str">
        <x:v>PHÂN BỔ THEO PORTAL</x:v>
      </x:c>
      <x:c r="B28" s="4"/>
      <x:c r="C28" s="4"/>
      <x:c r="D28" s="4"/>
      <x:c r="E28" s="4"/>
      <x:c r="F28" s="4"/>
    </x:row>
    <x:row r="29">
      <x:c r="A29" s="43" t="str">
        <x:v>Portal</x:v>
      </x:c>
      <x:c r="B29" s="45" t="str">
        <x:v>Tổng task</x:v>
      </x:c>
      <x:c r="C29" s="44" t="str">
        <x:v>Còn mở</x:v>
      </x:c>
    </x:row>
    <x:row r="30">
      <x:c r="A30" s="8" t="str">
        <x:v>SHARED/PLATFORM</x:v>
      </x:c>
      <x:c r="B30" s="9" t="n">
        <x:f>COUNTIF('Danh sách Task'!$C$6:$C$205,A30)</x:f>
        <x:v>32</x:v>
      </x:c>
      <x:c r="C30" s="10" t="n">
        <x:f>COUNTIFS('Danh sách Task'!$C$6:$C$205,A30,'Danh sách Task'!$H$6:$H$205,"&lt;&gt;Hoàn thành")</x:f>
        <x:v>21</x:v>
      </x:c>
    </x:row>
    <x:row r="31">
      <x:c r="A31" s="8" t="str">
        <x:v>LMS</x:v>
      </x:c>
      <x:c r="B31" s="9" t="n">
        <x:f>COUNTIF('Danh sách Task'!$C$6:$C$205,A31)</x:f>
        <x:v>4</x:v>
      </x:c>
      <x:c r="C31" s="10" t="n">
        <x:f>COUNTIFS('Danh sách Task'!$C$6:$C$205,A31,'Danh sách Task'!$H$6:$H$205,"&lt;&gt;Hoàn thành")</x:f>
        <x:v>4</x:v>
      </x:c>
    </x:row>
    <x:row r="32">
      <x:c r="A32" s="8" t="str">
        <x:v>LCMS</x:v>
      </x:c>
      <x:c r="B32" s="9" t="n">
        <x:f>COUNTIF('Danh sách Task'!$C$6:$C$205,A32)</x:f>
        <x:v>2</x:v>
      </x:c>
      <x:c r="C32" s="10" t="n">
        <x:f>COUNTIFS('Danh sách Task'!$C$6:$C$205,A32,'Danh sách Task'!$H$6:$H$205,"&lt;&gt;Hoàn thành")</x:f>
        <x:v>2</x:v>
      </x:c>
    </x:row>
    <x:row r="33">
      <x:c r="A33" s="8" t="str">
        <x:v>CRM</x:v>
      </x:c>
      <x:c r="B33" s="9" t="n">
        <x:f>COUNTIF('Danh sách Task'!$C$6:$C$205,A33)</x:f>
        <x:v>2</x:v>
      </x:c>
      <x:c r="C33" s="10" t="n">
        <x:f>COUNTIFS('Danh sách Task'!$C$6:$C$205,A33,'Danh sách Task'!$H$6:$H$205,"&lt;&gt;Hoàn thành")</x:f>
        <x:v>2</x:v>
      </x:c>
    </x:row>
    <x:row r="34">
      <x:c r="A34" s="11" t="str">
        <x:v>ELEARNING</x:v>
      </x:c>
      <x:c r="B34" s="12" t="n">
        <x:f>COUNTIF('Danh sách Task'!$C$6:$C$205,A34)</x:f>
        <x:v>3</x:v>
      </x:c>
      <x:c r="C34" s="13" t="n">
        <x:f>COUNTIFS('Danh sách Task'!$C$6:$C$205,A34,'Danh sách Task'!$H$6:$H$205,"&lt;&gt;Hoàn thành")</x:f>
        <x:v>3</x:v>
      </x:c>
    </x:row>
    <x:row r="37">
      <x:c r="A37" s="51" t="str">
        <x:v>BE — ERG-SPRING</x:v>
      </x:c>
      <x:c r="B37" s="51"/>
      <x:c r="C37" s="51"/>
      <x:c r="D37" s="51"/>
      <x:c r="E37" s="51"/>
      <x:c r="F37" s="51"/>
    </x:row>
    <x:row r="38">
      <x:c r="A38" s="53" t="str">
        <x:v>Chỉ số BE</x:v>
      </x:c>
      <x:c r="B38" s="54" t="str">
        <x:v>Giá trị</x:v>
      </x:c>
      <x:c r="C38" s="55" t="str">
        <x:v>Ghi chú</x:v>
      </x:c>
    </x:row>
    <x:row r="39">
      <x:c r="A39" s="56" t="str">
        <x:v>Tổng task BE</x:v>
      </x:c>
      <x:c r="B39" s="57" t="n">
        <x:f>COUNTA('BE Tasks'!$A$6:$A$205)</x:f>
        <x:v>18</x:v>
      </x:c>
      <x:c r="C39" s="62" t="str">
        <x:v>Backlog backend</x:v>
      </x:c>
    </x:row>
    <x:row r="40">
      <x:c r="A40" s="56" t="str">
        <x:v>BE hoàn thành</x:v>
      </x:c>
      <x:c r="B40" s="57" t="n">
        <x:f>COUNTIF('BE Tasks'!$H$6:$H$205,"Hoàn thành")</x:f>
        <x:v>0</x:v>
      </x:c>
      <x:c r="C40" s="62" t="str">
        <x:v>Đã verify</x:v>
      </x:c>
    </x:row>
    <x:row r="41">
      <x:c r="A41" s="56" t="str">
        <x:v>BE đang làm</x:v>
      </x:c>
      <x:c r="B41" s="57" t="n">
        <x:f>COUNTIF('BE Tasks'!$H$6:$H$205,"Đang làm")</x:f>
        <x:v>1</x:v>
      </x:c>
      <x:c r="C41" s="62" t="str">
        <x:v>Đang thực thi</x:v>
      </x:c>
    </x:row>
    <x:row r="42">
      <x:c r="A42" s="59" t="str">
        <x:v>BE còn mở</x:v>
      </x:c>
      <x:c r="B42" s="60" t="n">
        <x:f>COUNTIFS('BE Tasks'!$H$6:$H$205,"&lt;&gt;Hoàn thành",'BE Tasks'!$H$6:$H$205,"&lt;&gt;")</x:f>
        <x:v>18</x:v>
      </x:c>
      <x:c r="C42" s="63" t="str">
        <x:v>Chưa hoàn thành</x:v>
      </x:c>
    </x:row>
  </x:sheetData>
  <x:mergeCells>
    <x:mergeCell ref="A1:L2"/>
    <x:mergeCell ref="A3:L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A10:F10"/>
    <x:mergeCell ref="A18:F18"/>
    <x:mergeCell ref="A28:F28"/>
    <x:mergeCell ref="A37:F37"/>
  </x:mergeCells>
  <x:pageMargins left="0.7" right="0.7" top="0.75" bottom="0.75" header="0.3" footer="0.3"/>
  <x:drawing xmlns:r="http://schemas.openxmlformats.org/officeDocument/2006/relationships" r:id="R1292e01eaea2450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16" hidden="0" customWidth="1"/>
    <x:col min="5" max="5" width="34" hidden="0" customWidth="1"/>
    <x:col min="6" max="6" width="48" hidden="0" customWidth="1"/>
    <x:col min="7" max="7" width="13" hidden="0" customWidth="1"/>
    <x:col min="8" max="8" width="13" hidden="0" customWidth="1"/>
    <x:col min="9" max="9" width="10" hidden="0" customWidth="1"/>
    <x:col min="10" max="10" width="16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20" hidden="0" customWidth="1"/>
    <x:col min="17" max="17" width="50" hidden="0" customWidth="1"/>
    <x:col min="18" max="18" width="44" hidden="0" customWidth="1"/>
  </x:cols>
  <x:sheetData>
    <x:row r="1" ht="32" customHeight="1">
      <x:c r="A1" s="15" t="str">
        <x:v>ERG SYSTEM — ARCHITECTURE &amp; PERFORMANCE TASK BOARD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</x:row>
    <x:row r="2" ht="24" customHeight="1">
      <x:c r="A2" s="17" t="str">
        <x:v>Nguồn: audit source hiện tại ngày 2026-07-20 • Cập nhật Trạng thái, Owner, Sprint, ngày và Tiến độ trực tiếp trong bảng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</x:row>
    <x:row r="5">
      <x:c r="A5" t="str">
        <x:v>ID</x:v>
      </x:c>
      <x:c r="B5" t="str">
        <x:v>Giai đoạn</x:v>
      </x:c>
      <x:c r="C5" t="str">
        <x:v>Portal</x:v>
      </x:c>
      <x:c r="D5" t="str">
        <x:v>Nhóm</x:v>
      </x:c>
      <x:c r="E5" t="str">
        <x:v>Task</x:v>
      </x:c>
      <x:c r="F5" t="str">
        <x:v>Mô tả</x:v>
      </x:c>
      <x:c r="G5" t="str">
        <x:v>Ưu tiên</x:v>
      </x:c>
      <x:c r="H5" t="str">
        <x:v>Trạng thái</x:v>
      </x:c>
      <x:c r="I5" t="str">
        <x:v>Effort</x:v>
      </x:c>
      <x:c r="J5" t="str">
        <x:v>Owner</x:v>
      </x:c>
      <x:c r="K5" t="str">
        <x:v>Sprint</x:v>
      </x:c>
      <x:c r="L5" t="str">
        <x:v>Bắt đầu</x:v>
      </x:c>
      <x:c r="M5" t="str">
        <x:v>Hạn</x:v>
      </x:c>
      <x:c r="N5" t="str">
        <x:v>Tiến độ</x:v>
      </x:c>
      <x:c r="O5" t="str">
        <x:v>Rủi ro</x:v>
      </x:c>
      <x:c r="P5" t="str">
        <x:v>Phụ thuộc</x:v>
      </x:c>
      <x:c r="Q5" t="str">
        <x:v>Tiêu chí hoàn thành</x:v>
      </x:c>
      <x:c r="R5" t="str">
        <x:v>File/Phạm vi</x:v>
      </x:c>
    </x:row>
    <x:row r="6" ht="42" customHeight="1">
      <x:c r="A6" t="str">
        <x:v>ERG-013</x:v>
      </x:c>
      <x:c r="B6" t="str">
        <x:v>Giai đoạn 1</x:v>
      </x:c>
      <x:c r="C6" t="str">
        <x:v>SHARED/PLATFORM</x:v>
      </x:c>
      <x:c r="D6" t="str">
        <x:v>God file</x:v>
      </x:c>
      <x:c r="E6" s="18" t="str">
        <x:v>Tách ErgCalendarWorkspace</x:v>
      </x:c>
      <x:c r="F6" s="18" t="str">
        <x:v>Tách toolbar, sidebar, views, dialog, preview, selectors, formatters và styles.</x:v>
      </x:c>
      <x:c r="G6" s="18" t="str">
        <x:v>P0</x:v>
      </x:c>
      <x:c r="H6" s="18" t="str">
        <x:v>Chưa làm</x:v>
      </x:c>
      <x:c r="I6" s="19" t="n">
        <x:v>13</x:v>
      </x:c>
      <x:c r="J6" s="18" t="str">
        <x:v>Frontend Team</x:v>
      </x:c>
      <x:c r="K6" s="18" t="str">
        <x:v>Sprint 1-2</x:v>
      </x:c>
      <x:c r="L6" s="20"/>
      <x:c r="M6" s="20"/>
      <x:c r="N6" s="21" t="n">
        <x:v>0</x:v>
      </x:c>
      <x:c r="O6" s="18" t="str">
        <x:v>Cao</x:v>
      </x:c>
      <x:c r="P6" s="18" t="str"/>
      <x:c r="Q6" s="18" t="str">
        <x:v>File container dưới 250 dòng; UI snapshot không đổi.</x:v>
      </x:c>
      <x:c r="R6" s="18" t="str">
        <x:v>src/components/shared/erg-calendar-workspace.tsx</x:v>
      </x:c>
    </x:row>
    <x:row r="7" ht="42" customHeight="1">
      <x:c r="A7" t="str">
        <x:v>ERG-014</x:v>
      </x:c>
      <x:c r="B7" t="str">
        <x:v>Giai đoạn 1</x:v>
      </x:c>
      <x:c r="C7" t="str">
        <x:v>LCMS</x:v>
      </x:c>
      <x:c r="D7" t="str">
        <x:v>God file</x:v>
      </x:c>
      <x:c r="E7" s="18" t="str">
        <x:v>Tách QuestionBankWorkspace</x:v>
      </x:c>
      <x:c r="F7" s="18" t="str">
        <x:v>Tách library, structure, form dialog, quiz builder, selectors, copy và hooks.</x:v>
      </x:c>
      <x:c r="G7" s="18" t="str">
        <x:v>P0</x:v>
      </x:c>
      <x:c r="H7" s="18" t="str">
        <x:v>Chưa làm</x:v>
      </x:c>
      <x:c r="I7" s="19" t="n">
        <x:v>13</x:v>
      </x:c>
      <x:c r="J7" s="18" t="str">
        <x:v>Frontend Team</x:v>
      </x:c>
      <x:c r="K7" s="18" t="str">
        <x:v>Sprint 1-2</x:v>
      </x:c>
      <x:c r="L7" s="20"/>
      <x:c r="M7" s="20"/>
      <x:c r="N7" s="21" t="n">
        <x:v>0</x:v>
      </x:c>
      <x:c r="O7" s="18" t="str">
        <x:v>Cao</x:v>
      </x:c>
      <x:c r="P7" s="18" t="str"/>
      <x:c r="Q7" s="18" t="str">
        <x:v>Workspace dưới 250 dòng; query/mutation behavior và UI không đổi.</x:v>
      </x:c>
      <x:c r="R7" s="18" t="str">
        <x:v>src/features/lcms/quiz/question-bank/components/question-bank-workspace.tsx</x:v>
      </x:c>
    </x:row>
    <x:row r="8" ht="42" customHeight="1">
      <x:c r="A8" t="str">
        <x:v>ERG-015</x:v>
      </x:c>
      <x:c r="B8" t="str">
        <x:v>Giai đoạn 2</x:v>
      </x:c>
      <x:c r="C8" t="str">
        <x:v>SHARED/PLATFORM</x:v>
      </x:c>
      <x:c r="D8" t="str">
        <x:v>REST Contract</x:v>
      </x:c>
      <x:c r="E8" s="18" t="str">
        <x:v>Sinh typed operation từ OpenAPI</x:v>
      </x:c>
      <x:c r="F8" s="18" t="str">
        <x:v>Ràng buộc endpoint, method, request body và response type thay cho request&lt;T&gt; tự do.</x:v>
      </x:c>
      <x:c r="G8" s="18" t="str">
        <x:v>P0</x:v>
      </x:c>
      <x:c r="H8" s="18" t="str">
        <x:v>Chưa làm</x:v>
      </x:c>
      <x:c r="I8" s="19" t="n">
        <x:v>13</x:v>
      </x:c>
      <x:c r="J8" s="18" t="str">
        <x:v>Platform</x:v>
      </x:c>
      <x:c r="K8" s="18" t="str">
        <x:v>Sprint 2</x:v>
      </x:c>
      <x:c r="L8" s="20"/>
      <x:c r="M8" s="20"/>
      <x:c r="N8" s="21" t="n">
        <x:v>0</x:v>
      </x:c>
      <x:c r="O8" s="18" t="str">
        <x:v>Cao</x:v>
      </x:c>
      <x:c r="P8" s="18" t="str">
        <x:v>ERG-001</x:v>
      </x:c>
      <x:c r="Q8" s="18" t="str">
        <x:v>Không còn generic response tùy ý tại API quan trọng.</x:v>
      </x:c>
      <x:c r="R8" s="18" t="str">
        <x:v>src/lib/api/create-api-client.ts</x:v>
      </x:c>
    </x:row>
    <x:row r="9" ht="42" customHeight="1">
      <x:c r="A9" t="str">
        <x:v>ERG-016</x:v>
      </x:c>
      <x:c r="B9" t="str">
        <x:v>Giai đoạn 2</x:v>
      </x:c>
      <x:c r="C9" t="str">
        <x:v>SHARED/PLATFORM</x:v>
      </x:c>
      <x:c r="D9" t="str">
        <x:v>REST Contract</x:v>
      </x:c>
      <x:c r="E9" s="18" t="str">
        <x:v>Dùng generated DTO và domain mapper</x:v>
      </x:c>
      <x:c r="F9" s="18" t="str">
        <x:v>Generated OpenAPI là transport source of truth; UI chỉ dùng domain model.</x:v>
      </x:c>
      <x:c r="G9" s="18" t="str">
        <x:v>P0</x:v>
      </x:c>
      <x:c r="H9" s="18" t="str">
        <x:v>Chưa làm</x:v>
      </x:c>
      <x:c r="I9" s="19" t="n">
        <x:v>13</x:v>
      </x:c>
      <x:c r="J9" s="18" t="str">
        <x:v>Platform</x:v>
      </x:c>
      <x:c r="K9" s="18" t="str">
        <x:v>Sprint 2-3</x:v>
      </x:c>
      <x:c r="L9" s="20"/>
      <x:c r="M9" s="20"/>
      <x:c r="N9" s="21" t="n">
        <x:v>0</x:v>
      </x:c>
      <x:c r="O9" s="18" t="str">
        <x:v>Cao</x:v>
      </x:c>
      <x:c r="P9" s="18" t="str">
        <x:v>ERG-015</x:v>
      </x:c>
      <x:c r="Q9" s="18" t="str">
        <x:v>BE đổi field làm contract check/typecheck fail có chủ đích.</x:v>
      </x:c>
      <x:c r="R9" s="18" t="str">
        <x:v>src/lib/api/generated/erg-openapi.ts</x:v>
      </x:c>
    </x:row>
    <x:row r="10" ht="42" customHeight="1">
      <x:c r="A10" t="str">
        <x:v>ERG-018</x:v>
      </x:c>
      <x:c r="B10" t="str">
        <x:v>Giai đoạn 2</x:v>
      </x:c>
      <x:c r="C10" t="str">
        <x:v>SHARED/PLATFORM</x:v>
      </x:c>
      <x:c r="D10" t="str">
        <x:v>GraphQL</x:v>
      </x:c>
      <x:c r="E10" s="18" t="str">
        <x:v>Thiết lập GraphQL Code Generator</x:v>
      </x:c>
      <x:c r="F10" s="18" t="str">
        <x:v>Sinh typed documents, variables và response từ schema BE.</x:v>
      </x:c>
      <x:c r="G10" s="18" t="str">
        <x:v>P0</x:v>
      </x:c>
      <x:c r="H10" s="18" t="str">
        <x:v>Chưa làm</x:v>
      </x:c>
      <x:c r="I10" s="19" t="n">
        <x:v>13</x:v>
      </x:c>
      <x:c r="J10" s="18" t="str">
        <x:v>Platform</x:v>
      </x:c>
      <x:c r="K10" s="18" t="str">
        <x:v>Sprint 2</x:v>
      </x:c>
      <x:c r="L10" s="20"/>
      <x:c r="M10" s="20"/>
      <x:c r="N10" s="21" t="n">
        <x:v>0</x:v>
      </x:c>
      <x:c r="O10" s="18" t="str">
        <x:v>Cao</x:v>
      </x:c>
      <x:c r="P10" s="18" t="str">
        <x:v>ERG-010</x:v>
      </x:c>
      <x:c r="Q10" s="18" t="str">
        <x:v>Không còn query string không type-safe tại feature đã migrate.</x:v>
      </x:c>
      <x:c r="R10" s="18" t="str">
        <x:v>graphql.config.*</x:v>
      </x:c>
    </x:row>
    <x:row r="11" ht="42" customHeight="1">
      <x:c r="A11" t="str">
        <x:v>ERG-030</x:v>
      </x:c>
      <x:c r="B11" t="str">
        <x:v>Giai đoạn 4</x:v>
      </x:c>
      <x:c r="C11" t="str">
        <x:v>SHARED/PLATFORM</x:v>
      </x:c>
      <x:c r="D11" t="str">
        <x:v>Testing</x:v>
      </x:c>
      <x:c r="E11" s="18" t="str">
        <x:v>Bổ sung integration test API/GraphQL</x:v>
      </x:c>
      <x:c r="F11" s="18" t="str">
        <x:v>Bao phủ cancellation, partial error, tenant isolation, refresh race và stale response.</x:v>
      </x:c>
      <x:c r="G11" s="18" t="str">
        <x:v>P0</x:v>
      </x:c>
      <x:c r="H11" s="18" t="str">
        <x:v>Chưa làm</x:v>
      </x:c>
      <x:c r="I11" s="19" t="n">
        <x:v>13</x:v>
      </x:c>
      <x:c r="J11" s="18" t="str">
        <x:v>QA</x:v>
      </x:c>
      <x:c r="K11" s="18" t="str">
        <x:v>Sprint 4</x:v>
      </x:c>
      <x:c r="L11" s="20"/>
      <x:c r="M11" s="20"/>
      <x:c r="N11" s="21" t="n">
        <x:v>0</x:v>
      </x:c>
      <x:c r="O11" s="18" t="str">
        <x:v>Cao</x:v>
      </x:c>
      <x:c r="P11" s="18" t="str">
        <x:v>ERG-009, ERG-010, ERG-011</x:v>
      </x:c>
      <x:c r="Q11" s="18" t="str">
        <x:v>Test chạy trong CI và bắt được các regression mục tiêu.</x:v>
      </x:c>
      <x:c r="R11" s="18" t="str">
        <x:v>src/test</x:v>
      </x:c>
    </x:row>
    <x:row r="12" ht="42" customHeight="1">
      <x:c r="A12" t="str">
        <x:v>ERG-038</x:v>
      </x:c>
      <x:c r="B12" t="str">
        <x:v>Giai đoạn 3</x:v>
      </x:c>
      <x:c r="C12" t="str">
        <x:v>CRM</x:v>
      </x:c>
      <x:c r="D12" t="str">
        <x:v>Portal Audit</x:v>
      </x:c>
      <x:c r="E12" s="18" t="str">
        <x:v>Audit toàn bộ CRM API/query/cache</x:v>
      </x:c>
      <x:c r="F12" s="18" t="str">
        <x:v>Đánh giá CRM routing, SEO workspace, call API, cache policy, DTO và khả năng code-split.</x:v>
      </x:c>
      <x:c r="G12" s="18" t="str">
        <x:v>P0</x:v>
      </x:c>
      <x:c r="H12" s="18" t="str">
        <x:v>Chưa làm</x:v>
      </x:c>
      <x:c r="I12" s="19" t="n">
        <x:v>8</x:v>
      </x:c>
      <x:c r="J12" s="18" t="str">
        <x:v>Frontend Team</x:v>
      </x:c>
      <x:c r="K12" s="18" t="str">
        <x:v>Sprint 3</x:v>
      </x:c>
      <x:c r="L12" s="20"/>
      <x:c r="M12" s="20"/>
      <x:c r="N12" s="21" t="n">
        <x:v>0</x:v>
      </x:c>
      <x:c r="O12" s="18" t="str">
        <x:v>Cao</x:v>
      </x:c>
      <x:c r="P12" s="18" t="str">
        <x:v>ERG-015, ERG-026</x:v>
      </x:c>
      <x:c r="Q12" s="18" t="str">
        <x:v>CRM có query key chuẩn, typed API boundary và báo cáo bundle riêng.</x:v>
      </x:c>
      <x:c r="R12" s="18" t="str">
        <x:v>src/features/crm</x:v>
      </x:c>
    </x:row>
    <x:row r="13" ht="42" customHeight="1">
      <x:c r="A13" t="str">
        <x:v>ERG-040</x:v>
      </x:c>
      <x:c r="B13" t="str">
        <x:v>Giai đoạn 3</x:v>
      </x:c>
      <x:c r="C13" t="str">
        <x:v>ELEARNING</x:v>
      </x:c>
      <x:c r="D13" t="str">
        <x:v>Portal Audit</x:v>
      </x:c>
      <x:c r="E13" s="18" t="str">
        <x:v>Audit ELEARNING API/query/cache/offline</x:v>
      </x:c>
      <x:c r="F13" s="18" t="str">
        <x:v>Rà student dashboard, assignments, discussion, announcements, persistence và stale request.</x:v>
      </x:c>
      <x:c r="G13" s="18" t="str">
        <x:v>P0</x:v>
      </x:c>
      <x:c r="H13" s="18" t="str">
        <x:v>Chưa làm</x:v>
      </x:c>
      <x:c r="I13" s="19" t="n">
        <x:v>8</x:v>
      </x:c>
      <x:c r="J13" s="18" t="str">
        <x:v>Frontend Team</x:v>
      </x:c>
      <x:c r="K13" s="18" t="str">
        <x:v>Sprint 3</x:v>
      </x:c>
      <x:c r="L13" s="20"/>
      <x:c r="M13" s="20"/>
      <x:c r="N13" s="21" t="n">
        <x:v>0</x:v>
      </x:c>
      <x:c r="O13" s="18" t="str">
        <x:v>Cao</x:v>
      </x:c>
      <x:c r="P13" s="18" t="str">
        <x:v>ERG-009, ERG-022, ERG-031</x:v>
      </x:c>
      <x:c r="Q13" s="18" t="str">
        <x:v>ELEARNING có cache matrix và E2E cho dashboard/offline core.</x:v>
      </x:c>
      <x:c r="R13" s="18" t="str">
        <x:v>src/features/elearning</x:v>
      </x:c>
    </x:row>
    <x:row r="14" ht="42" customHeight="1">
      <x:c r="A14" t="str">
        <x:v>ERG-042</x:v>
      </x:c>
      <x:c r="B14" t="str">
        <x:v>Giai đoạn 3</x:v>
      </x:c>
      <x:c r="C14" t="str">
        <x:v>SHARED/PLATFORM</x:v>
      </x:c>
      <x:c r="D14" t="str">
        <x:v>Cross Portal</x:v>
      </x:c>
      <x:c r="E14" s="18" t="str">
        <x:v>Chuẩn hóa cache key cho 4 portal</x:v>
      </x:c>
      <x:c r="F14" s="18" t="str">
        <x:v>Đảm bảo mọi query key chứa portal/tenant/account phù hợp và không chia sẻ cache sai scope.</x:v>
      </x:c>
      <x:c r="G14" s="18" t="str">
        <x:v>P0</x:v>
      </x:c>
      <x:c r="H14" s="18" t="str">
        <x:v>Chưa làm</x:v>
      </x:c>
      <x:c r="I14" s="19" t="n">
        <x:v>8</x:v>
      </x:c>
      <x:c r="J14" s="18" t="str">
        <x:v>Platform</x:v>
      </x:c>
      <x:c r="K14" s="18" t="str">
        <x:v>Sprint 3</x:v>
      </x:c>
      <x:c r="L14" s="20"/>
      <x:c r="M14" s="20"/>
      <x:c r="N14" s="21" t="n">
        <x:v>0</x:v>
      </x:c>
      <x:c r="O14" s="18" t="str">
        <x:v>Cao</x:v>
      </x:c>
      <x:c r="P14" s="18" t="str">
        <x:v>ERG-003, ERG-010</x:v>
      </x:c>
      <x:c r="Q14" s="18" t="str">
        <x:v>Test isolation đạt cho LMS, LCMS, CRM và ELEARNING.</x:v>
      </x:c>
      <x:c r="R14" s="18" t="str">
        <x:v>src/lib/query-keys.ts</x:v>
      </x:c>
    </x:row>
    <x:row r="15" ht="42" customHeight="1">
      <x:c r="A15" t="str">
        <x:v>ERG-043</x:v>
      </x:c>
      <x:c r="B15" t="str">
        <x:v>Giai đoạn 4</x:v>
      </x:c>
      <x:c r="C15" t="str">
        <x:v>SHARED/PLATFORM</x:v>
      </x:c>
      <x:c r="D15" t="str">
        <x:v>Testing</x:v>
      </x:c>
      <x:c r="E15" s="18" t="str">
        <x:v>E2E smoke test theo từng portal</x:v>
      </x:c>
      <x:c r="F15" s="18" t="str">
        <x:v>Tạo smoke suite riêng cho đăng nhập, bootstrap, route chính và API failure của bốn portal.</x:v>
      </x:c>
      <x:c r="G15" s="18" t="str">
        <x:v>P0</x:v>
      </x:c>
      <x:c r="H15" s="18" t="str">
        <x:v>Chưa làm</x:v>
      </x:c>
      <x:c r="I15" s="19" t="n">
        <x:v>13</x:v>
      </x:c>
      <x:c r="J15" s="18" t="str">
        <x:v>QA</x:v>
      </x:c>
      <x:c r="K15" s="18" t="str">
        <x:v>Sprint 4</x:v>
      </x:c>
      <x:c r="L15" s="20"/>
      <x:c r="M15" s="20"/>
      <x:c r="N15" s="21" t="n">
        <x:v>0</x:v>
      </x:c>
      <x:c r="O15" s="18" t="str">
        <x:v>Cao</x:v>
      </x:c>
      <x:c r="P15" s="18" t="str">
        <x:v>ERG-030, ERG-036, ERG-037, ERG-038, ERG-040</x:v>
      </x:c>
      <x:c r="Q15" s="18" t="str">
        <x:v>Mỗi portal có smoke test CI và báo cáo lỗi độc lập.</x:v>
      </x:c>
      <x:c r="R15" s="18" t="str">
        <x:v>src/test/e2e</x:v>
      </x:c>
    </x:row>
    <x:row r="16" ht="42" customHeight="1">
      <x:c r="A16" t="str">
        <x:v>ERG-012</x:v>
      </x:c>
      <x:c r="B16" t="str">
        <x:v>Giai đoạn 1</x:v>
      </x:c>
      <x:c r="C16" t="str">
        <x:v>LMS</x:v>
      </x:c>
      <x:c r="D16" t="str">
        <x:v>GraphQL</x:v>
      </x:c>
      <x:c r="E16" s="18" t="str">
        <x:v>Tách LMS GraphQL API theo domain</x:v>
      </x:c>
      <x:c r="F16" s="18" t="str">
        <x:v>Tách resource library, class workspace, homework và assignment progress.</x:v>
      </x:c>
      <x:c r="G16" s="18" t="str">
        <x:v>P1</x:v>
      </x:c>
      <x:c r="H16" s="18" t="str">
        <x:v>Chưa làm</x:v>
      </x:c>
      <x:c r="I16" s="19" t="n">
        <x:v>8</x:v>
      </x:c>
      <x:c r="J16" s="18" t="str">
        <x:v>Frontend Team</x:v>
      </x:c>
      <x:c r="K16" s="18" t="str">
        <x:v>Sprint 1</x:v>
      </x:c>
      <x:c r="L16" s="20"/>
      <x:c r="M16" s="20"/>
      <x:c r="N16" s="21" t="n">
        <x:v>0</x:v>
      </x:c>
      <x:c r="O16" s="18" t="str">
        <x:v>Trung bình</x:v>
      </x:c>
      <x:c r="P16" s="18" t="str">
        <x:v>ERG-009, ERG-010</x:v>
      </x:c>
      <x:c r="Q16" s="18" t="str">
        <x:v>Không có GraphQL API domain file vượt 300 dòng.</x:v>
      </x:c>
      <x:c r="R16" s="18" t="str">
        <x:v>src/features/lms/api/lms-graphql-api.ts</x:v>
      </x:c>
    </x:row>
    <x:row r="17" ht="42" customHeight="1">
      <x:c r="A17" t="str">
        <x:v>ERG-017</x:v>
      </x:c>
      <x:c r="B17" t="str">
        <x:v>Giai đoạn 2</x:v>
      </x:c>
      <x:c r="C17" t="str">
        <x:v>SHARED/PLATFORM</x:v>
      </x:c>
      <x:c r="D17" t="str">
        <x:v>Validation</x:v>
      </x:c>
      <x:c r="E17" s="18" t="str">
        <x:v>Runtime validation cho response quan trọng</x:v>
      </x:c>
      <x:c r="F17" s="18" t="str">
        <x:v>Validate auth, bootstrap, permission, calendar, assignment và quiz package.</x:v>
      </x:c>
      <x:c r="G17" s="18" t="str">
        <x:v>P1</x:v>
      </x:c>
      <x:c r="H17" s="18" t="str">
        <x:v>Chưa làm</x:v>
      </x:c>
      <x:c r="I17" s="19" t="n">
        <x:v>8</x:v>
      </x:c>
      <x:c r="J17" s="18" t="str">
        <x:v>Platform</x:v>
      </x:c>
      <x:c r="K17" s="18" t="str">
        <x:v>Sprint 2</x:v>
      </x:c>
      <x:c r="L17" s="20"/>
      <x:c r="M17" s="20"/>
      <x:c r="N17" s="21" t="n">
        <x:v>0</x:v>
      </x:c>
      <x:c r="O17" s="18" t="str">
        <x:v>Trung bình</x:v>
      </x:c>
      <x:c r="P17" s="18" t="str">
        <x:v>ERG-015</x:v>
      </x:c>
      <x:c r="Q17" s="18" t="str">
        <x:v>Response sai shape tạo lỗi chuẩn hóa có requestId.</x:v>
      </x:c>
      <x:c r="R17" s="18" t="str">
        <x:v>src/lib/api</x:v>
      </x:c>
    </x:row>
    <x:row r="18" ht="42" customHeight="1">
      <x:c r="A18" t="str">
        <x:v>ERG-019</x:v>
      </x:c>
      <x:c r="B18" t="str">
        <x:v>Giai đoạn 2</x:v>
      </x:c>
      <x:c r="C18" t="str">
        <x:v>SHARED/PLATFORM</x:v>
      </x:c>
      <x:c r="D18" t="str">
        <x:v>GraphQL</x:v>
      </x:c>
      <x:c r="E18" s="18" t="str">
        <x:v>Chuẩn hóa operation name</x:v>
      </x:c>
      <x:c r="F18" s="18" t="str">
        <x:v>Dùng convention/typed document để tránh tên trùng và hỗ trợ tracing.</x:v>
      </x:c>
      <x:c r="G18" s="18" t="str">
        <x:v>P1</x:v>
      </x:c>
      <x:c r="H18" s="18" t="str">
        <x:v>Chưa làm</x:v>
      </x:c>
      <x:c r="I18" s="19" t="n">
        <x:v>3</x:v>
      </x:c>
      <x:c r="J18" s="18" t="str">
        <x:v>Platform</x:v>
      </x:c>
      <x:c r="K18" s="18" t="str">
        <x:v>Sprint 2</x:v>
      </x:c>
      <x:c r="L18" s="20"/>
      <x:c r="M18" s="20"/>
      <x:c r="N18" s="21" t="n">
        <x:v>0</x:v>
      </x:c>
      <x:c r="O18" s="18" t="str">
        <x:v>Thấp</x:v>
      </x:c>
      <x:c r="P18" s="18" t="str">
        <x:v>ERG-018</x:v>
      </x:c>
      <x:c r="Q18" s="18" t="str">
        <x:v>Operation name duy nhất và có prefix domain.</x:v>
      </x:c>
      <x:c r="R18" s="18" t="str">
        <x:v>src/features/**/api</x:v>
      </x:c>
    </x:row>
    <x:row r="19" ht="42" customHeight="1">
      <x:c r="A19" t="str">
        <x:v>ERG-020</x:v>
      </x:c>
      <x:c r="B19" t="str">
        <x:v>Giai đoạn 2</x:v>
      </x:c>
      <x:c r="C19" t="str">
        <x:v>SHARED/PLATFORM</x:v>
      </x:c>
      <x:c r="D19" t="str">
        <x:v>Domain Model</x:v>
      </x:c>
      <x:c r="E19" s="18" t="str">
        <x:v>Thay string status bằng union/generated enum</x:v>
      </x:c>
      <x:c r="F19" s="18" t="str">
        <x:v>Chuẩn hóa status, visibility, kind và mode ở các domain chính.</x:v>
      </x:c>
      <x:c r="G19" s="18" t="str">
        <x:v>P1</x:v>
      </x:c>
      <x:c r="H19" s="18" t="str">
        <x:v>Chưa làm</x:v>
      </x:c>
      <x:c r="I19" s="19" t="n">
        <x:v>8</x:v>
      </x:c>
      <x:c r="J19" s="18" t="str">
        <x:v>Frontend Team</x:v>
      </x:c>
      <x:c r="K19" s="18" t="str">
        <x:v>Sprint 3</x:v>
      </x:c>
      <x:c r="L19" s="20"/>
      <x:c r="M19" s="20"/>
      <x:c r="N19" s="21" t="n">
        <x:v>0</x:v>
      </x:c>
      <x:c r="O19" s="18" t="str">
        <x:v>Trung bình</x:v>
      </x:c>
      <x:c r="P19" s="18" t="str">
        <x:v>ERG-016, ERG-018</x:v>
      </x:c>
      <x:c r="Q19" s="18" t="str">
        <x:v>Không còn status?: string tại domain đã migrate.</x:v>
      </x:c>
      <x:c r="R19" s="18" t="str">
        <x:v>src/features/**/types</x:v>
      </x:c>
    </x:row>
    <x:row r="20" ht="42" customHeight="1">
      <x:c r="A20" t="str">
        <x:v>ERG-021</x:v>
      </x:c>
      <x:c r="B20" t="str">
        <x:v>Giai đoạn 3</x:v>
      </x:c>
      <x:c r="C20" t="str">
        <x:v>LMS</x:v>
      </x:c>
      <x:c r="D20" t="str">
        <x:v>God file</x:v>
      </x:c>
      <x:c r="E20" s="18" t="str">
        <x:v>Tách AssignHomeworkPage</x:v>
      </x:c>
      <x:c r="F20" s="18" t="str">
        <x:v>Tách form, resource picker, recipient picker, desktop/mobile và mapper.</x:v>
      </x:c>
      <x:c r="G20" s="18" t="str">
        <x:v>P1</x:v>
      </x:c>
      <x:c r="H20" s="18" t="str">
        <x:v>Chưa làm</x:v>
      </x:c>
      <x:c r="I20" s="19" t="n">
        <x:v>13</x:v>
      </x:c>
      <x:c r="J20" s="18" t="str">
        <x:v>Frontend Team</x:v>
      </x:c>
      <x:c r="K20" s="18" t="str">
        <x:v>Sprint 3</x:v>
      </x:c>
      <x:c r="L20" s="20"/>
      <x:c r="M20" s="20"/>
      <x:c r="N20" s="21" t="n">
        <x:v>0</x:v>
      </x:c>
      <x:c r="O20" s="18" t="str">
        <x:v>Cao</x:v>
      </x:c>
      <x:c r="P20" s="18" t="str"/>
      <x:c r="Q20" s="18" t="str">
        <x:v>Container dưới 250 dòng; idempotency và validation có unit test.</x:v>
      </x:c>
      <x:c r="R20" s="18" t="str">
        <x:v>src/features/lms/components/assign-homework-page.tsx</x:v>
      </x:c>
    </x:row>
    <x:row r="21" ht="42" customHeight="1">
      <x:c r="A21" t="str">
        <x:v>ERG-022</x:v>
      </x:c>
      <x:c r="B21" t="str">
        <x:v>Giai đoạn 3</x:v>
      </x:c>
      <x:c r="C21" t="str">
        <x:v>ELEARNING</x:v>
      </x:c>
      <x:c r="D21" t="str">
        <x:v>God file</x:v>
      </x:c>
      <x:c r="E21" s="18" t="str">
        <x:v>Tách StudentDashboardWorkspace</x:v>
      </x:c>
      <x:c r="F21" s="18" t="str">
        <x:v>Tách assignment, announcement, discussion, selectors và workspace hook.</x:v>
      </x:c>
      <x:c r="G21" s="18" t="str">
        <x:v>P1</x:v>
      </x:c>
      <x:c r="H21" s="18" t="str">
        <x:v>Chưa làm</x:v>
      </x:c>
      <x:c r="I21" s="19" t="n">
        <x:v>13</x:v>
      </x:c>
      <x:c r="J21" s="18" t="str">
        <x:v>Frontend Team</x:v>
      </x:c>
      <x:c r="K21" s="18" t="str">
        <x:v>Sprint 3</x:v>
      </x:c>
      <x:c r="L21" s="20"/>
      <x:c r="M21" s="20"/>
      <x:c r="N21" s="21" t="n">
        <x:v>0</x:v>
      </x:c>
      <x:c r="O21" s="18" t="str">
        <x:v>Cao</x:v>
      </x:c>
      <x:c r="P21" s="18" t="str"/>
      <x:c r="Q21" s="18" t="str">
        <x:v>Container dưới 250 dòng; render behavior không đổi.</x:v>
      </x:c>
      <x:c r="R21" s="18" t="str">
        <x:v>src/features/elearning/student-dashboard/components/student-dashboard-workspace.tsx</x:v>
      </x:c>
    </x:row>
    <x:row r="22" ht="42" customHeight="1">
      <x:c r="A22" t="str">
        <x:v>ERG-024</x:v>
      </x:c>
      <x:c r="B22" t="str">
        <x:v>Giai đoạn 3</x:v>
      </x:c>
      <x:c r="C22" t="str">
        <x:v>LMS</x:v>
      </x:c>
      <x:c r="D22" t="str">
        <x:v>API Boundary</x:v>
      </x:c>
      <x:c r="E22" s="18" t="str">
        <x:v>Tách Learning Resource APIs</x:v>
      </x:c>
      <x:c r="F22" s="18" t="str">
        <x:v>Tách read, command, upload, mapper, mock và types.</x:v>
      </x:c>
      <x:c r="G22" s="18" t="str">
        <x:v>P1</x:v>
      </x:c>
      <x:c r="H22" s="18" t="str">
        <x:v>Chưa làm</x:v>
      </x:c>
      <x:c r="I22" s="19" t="n">
        <x:v>13</x:v>
      </x:c>
      <x:c r="J22" s="18" t="str">
        <x:v>Frontend Team</x:v>
      </x:c>
      <x:c r="K22" s="18" t="str">
        <x:v>Sprint 3-4</x:v>
      </x:c>
      <x:c r="L22" s="20"/>
      <x:c r="M22" s="20"/>
      <x:c r="N22" s="21" t="n">
        <x:v>0</x:v>
      </x:c>
      <x:c r="O22" s="18" t="str">
        <x:v>Cao</x:v>
      </x:c>
      <x:c r="P22" s="18" t="str">
        <x:v>ERG-016</x:v>
      </x:c>
      <x:c r="Q22" s="18" t="str">
        <x:v>API file dưới 300 dòng và không import component.</x:v>
      </x:c>
      <x:c r="R22" s="18" t="str">
        <x:v>src/features/lms/learning-resources/api</x:v>
      </x:c>
    </x:row>
    <x:row r="23" ht="42" customHeight="1">
      <x:c r="A23" t="str">
        <x:v>ERG-026</x:v>
      </x:c>
      <x:c r="B23" t="str">
        <x:v>Giai đoạn 3</x:v>
      </x:c>
      <x:c r="C23" t="str">
        <x:v>SHARED/PLATFORM</x:v>
      </x:c>
      <x:c r="D23" t="str">
        <x:v>Architecture</x:v>
      </x:c>
      <x:c r="E23" s="18" t="str">
        <x:v>Thêm ESLint import boundary</x:v>
      </x:c>
      <x:c r="F23" s="18" t="str">
        <x:v>Chặn page gọi transport trực tiếp, api import UI và domain phụ thuộc React.</x:v>
      </x:c>
      <x:c r="G23" s="18" t="str">
        <x:v>P1</x:v>
      </x:c>
      <x:c r="H23" s="18" t="str">
        <x:v>Chưa làm</x:v>
      </x:c>
      <x:c r="I23" s="19" t="n">
        <x:v>5</x:v>
      </x:c>
      <x:c r="J23" s="18" t="str">
        <x:v>Platform</x:v>
      </x:c>
      <x:c r="K23" s="18" t="str">
        <x:v>Sprint 3</x:v>
      </x:c>
      <x:c r="L23" s="20"/>
      <x:c r="M23" s="20"/>
      <x:c r="N23" s="21" t="n">
        <x:v>0</x:v>
      </x:c>
      <x:c r="O23" s="18" t="str">
        <x:v>Trung bình</x:v>
      </x:c>
      <x:c r="P23" s="18" t="str"/>
      <x:c r="Q23" s="18" t="str">
        <x:v>CI fail khi vi phạm layer rule.</x:v>
      </x:c>
      <x:c r="R23" s="18" t="str">
        <x:v>eslint.config.js</x:v>
      </x:c>
    </x:row>
    <x:row r="24" ht="42" customHeight="1">
      <x:c r="A24" t="str">
        <x:v>ERG-027</x:v>
      </x:c>
      <x:c r="B24" t="str">
        <x:v>Giai đoạn 3</x:v>
      </x:c>
      <x:c r="C24" t="str">
        <x:v>SHARED/PLATFORM</x:v>
      </x:c>
      <x:c r="D24" t="str">
        <x:v>Architecture</x:v>
      </x:c>
      <x:c r="E24" s="18" t="str">
        <x:v>Thêm circular dependency check</x:v>
      </x:c>
      <x:c r="F24" s="18" t="str">
        <x:v>Dùng dependency-cruiser hoặc madge trong CI.</x:v>
      </x:c>
      <x:c r="G24" s="18" t="str">
        <x:v>P1</x:v>
      </x:c>
      <x:c r="H24" s="18" t="str">
        <x:v>Chưa làm</x:v>
      </x:c>
      <x:c r="I24" s="19" t="n">
        <x:v>3</x:v>
      </x:c>
      <x:c r="J24" s="18" t="str">
        <x:v>Platform</x:v>
      </x:c>
      <x:c r="K24" s="18" t="str">
        <x:v>Sprint 3</x:v>
      </x:c>
      <x:c r="L24" s="20"/>
      <x:c r="M24" s="20"/>
      <x:c r="N24" s="21" t="n">
        <x:v>0</x:v>
      </x:c>
      <x:c r="O24" s="18" t="str">
        <x:v>Trung bình</x:v>
      </x:c>
      <x:c r="P24" s="18" t="str"/>
      <x:c r="Q24" s="18" t="str">
        <x:v>Không có cycle mới; baseline cycle hiện hữu được theo dõi.</x:v>
      </x:c>
      <x:c r="R24" s="18" t="str">
        <x:v>package.json</x:v>
      </x:c>
    </x:row>
    <x:row r="25" ht="42" customHeight="1">
      <x:c r="A25" t="str">
        <x:v>ERG-028</x:v>
      </x:c>
      <x:c r="B25" t="str">
        <x:v>Giai đoạn 3</x:v>
      </x:c>
      <x:c r="C25" t="str">
        <x:v>SHARED/PLATFORM</x:v>
      </x:c>
      <x:c r="D25" t="str">
        <x:v>Bundle</x:v>
      </x:c>
      <x:c r="E25" s="18" t="str">
        <x:v>Audit barrel import và MUI icon chunk</x:v>
      </x:c>
      <x:c r="F25" s="18" t="str">
        <x:v>Giảm dependency kéo theo từ feature index; đo initial preload thực tế.</x:v>
      </x:c>
      <x:c r="G25" s="18" t="str">
        <x:v>P1</x:v>
      </x:c>
      <x:c r="H25" s="18" t="str">
        <x:v>Chưa làm</x:v>
      </x:c>
      <x:c r="I25" s="19" t="n">
        <x:v>8</x:v>
      </x:c>
      <x:c r="J25" s="18" t="str">
        <x:v>Frontend Team</x:v>
      </x:c>
      <x:c r="K25" s="18" t="str">
        <x:v>Sprint 3</x:v>
      </x:c>
      <x:c r="L25" s="20"/>
      <x:c r="M25" s="20"/>
      <x:c r="N25" s="21" t="n">
        <x:v>0</x:v>
      </x:c>
      <x:c r="O25" s="18" t="str">
        <x:v>Trung bình</x:v>
      </x:c>
      <x:c r="P25" s="18" t="str"/>
      <x:c r="Q25" s="18" t="str">
        <x:v>Initial gzip tiến gần budget 100 KB; không preload catalog icon dư thừa.</x:v>
      </x:c>
      <x:c r="R25" s="18" t="str">
        <x:v>vite.config.ts</x:v>
      </x:c>
    </x:row>
    <x:row r="26" ht="42" customHeight="1">
      <x:c r="A26" t="str">
        <x:v>ERG-029</x:v>
      </x:c>
      <x:c r="B26" t="str">
        <x:v>Giai đoạn 3</x:v>
      </x:c>
      <x:c r="C26" t="str">
        <x:v>SHARED/PLATFORM</x:v>
      </x:c>
      <x:c r="D26" t="str">
        <x:v>Cache</x:v>
      </x:c>
      <x:c r="E26" s="18" t="str">
        <x:v>Thu hẹp mutation invalidation</x:v>
      </x:c>
      <x:c r="F26" s="18" t="str">
        <x:v>Audit assignment, calendar, quiz editor; ưu tiên setQueryData hoặc key chi tiết.</x:v>
      </x:c>
      <x:c r="G26" s="18" t="str">
        <x:v>P1</x:v>
      </x:c>
      <x:c r="H26" s="18" t="str">
        <x:v>Chưa làm</x:v>
      </x:c>
      <x:c r="I26" s="19" t="n">
        <x:v>8</x:v>
      </x:c>
      <x:c r="J26" s="18" t="str">
        <x:v>Frontend Team</x:v>
      </x:c>
      <x:c r="K26" s="18" t="str">
        <x:v>Sprint 3</x:v>
      </x:c>
      <x:c r="L26" s="20"/>
      <x:c r="M26" s="20"/>
      <x:c r="N26" s="21" t="n">
        <x:v>0</x:v>
      </x:c>
      <x:c r="O26" s="18" t="str">
        <x:v>Trung bình</x:v>
      </x:c>
      <x:c r="P26" s="18" t="str">
        <x:v>ERG-003</x:v>
      </x:c>
      <x:c r="Q26" s="18" t="str">
        <x:v>Mutation không refetch root query không liên quan; có invalidation tests.</x:v>
      </x:c>
      <x:c r="R26" s="18" t="str">
        <x:v>src/features/**/api/*query.ts</x:v>
      </x:c>
    </x:row>
    <x:row r="27" ht="42" customHeight="1">
      <x:c r="A27" t="str">
        <x:v>ERG-031</x:v>
      </x:c>
      <x:c r="B27" t="str">
        <x:v>Giai đoạn 4</x:v>
      </x:c>
      <x:c r="C27" t="str">
        <x:v>SHARED/PLATFORM</x:v>
      </x:c>
      <x:c r="D27" t="str">
        <x:v>PWA/Offline</x:v>
      </x:c>
      <x:c r="E27" s="18" t="str">
        <x:v>Kiểm thử offline core và cache migration</x:v>
      </x:c>
      <x:c r="F27" s="18" t="str">
        <x:v>Attendance, scores, homework hoạt động sau reload offline; cache version migration an toàn.</x:v>
      </x:c>
      <x:c r="G27" s="18" t="str">
        <x:v>P1</x:v>
      </x:c>
      <x:c r="H27" s="18" t="str">
        <x:v>Chưa làm</x:v>
      </x:c>
      <x:c r="I27" s="19" t="n">
        <x:v>8</x:v>
      </x:c>
      <x:c r="J27" s="18" t="str">
        <x:v>QA</x:v>
      </x:c>
      <x:c r="K27" s="18" t="str">
        <x:v>Sprint 4</x:v>
      </x:c>
      <x:c r="L27" s="20"/>
      <x:c r="M27" s="20"/>
      <x:c r="N27" s="21" t="n">
        <x:v>0</x:v>
      </x:c>
      <x:c r="O27" s="18" t="str">
        <x:v>Cao</x:v>
      </x:c>
      <x:c r="P27" s="18" t="str">
        <x:v>ERG-004</x:v>
      </x:c>
      <x:c r="Q27" s="18" t="str">
        <x:v>Offline E2E đạt; dữ liệu nhạy cảm không xuất hiện trong IndexedDB.</x:v>
      </x:c>
      <x:c r="R27" s="18" t="str">
        <x:v>src/lib/query-persistence.ts</x:v>
      </x:c>
    </x:row>
    <x:row r="28" ht="42" customHeight="1">
      <x:c r="A28" t="str">
        <x:v>ERG-032</x:v>
      </x:c>
      <x:c r="B28" t="str">
        <x:v>Giai đoạn 4</x:v>
      </x:c>
      <x:c r="C28" t="str">
        <x:v>SHARED/PLATFORM</x:v>
      </x:c>
      <x:c r="D28" t="str">
        <x:v>Observability</x:v>
      </x:c>
      <x:c r="E28" s="18" t="str">
        <x:v>Chuẩn hóa client telemetry</x:v>
      </x:c>
      <x:c r="F28" s="18" t="str">
        <x:v>Ghi operation, duration, status, requestId; không log token/GraphQL raw error.</x:v>
      </x:c>
      <x:c r="G28" s="18" t="str">
        <x:v>P1</x:v>
      </x:c>
      <x:c r="H28" s="18" t="str">
        <x:v>Chưa làm</x:v>
      </x:c>
      <x:c r="I28" s="19" t="n">
        <x:v>8</x:v>
      </x:c>
      <x:c r="J28" s="18" t="str">
        <x:v>Platform</x:v>
      </x:c>
      <x:c r="K28" s="18" t="str">
        <x:v>Sprint 4</x:v>
      </x:c>
      <x:c r="L28" s="20"/>
      <x:c r="M28" s="20"/>
      <x:c r="N28" s="21" t="n">
        <x:v>0</x:v>
      </x:c>
      <x:c r="O28" s="18" t="str">
        <x:v>Trung bình</x:v>
      </x:c>
      <x:c r="P28" s="18" t="str">
        <x:v>ERG-011</x:v>
      </x:c>
      <x:c r="Q28" s="18" t="str">
        <x:v>Có dashboard lỗi/latency theo endpoint và operation.</x:v>
      </x:c>
      <x:c r="R28" s="18" t="str">
        <x:v>src/lib/api-client.ts</x:v>
      </x:c>
    </x:row>
    <x:row r="29" ht="42" customHeight="1">
      <x:c r="A29" t="str">
        <x:v>ERG-033</x:v>
      </x:c>
      <x:c r="B29" t="str">
        <x:v>Giai đoạn 4</x:v>
      </x:c>
      <x:c r="C29" t="str">
        <x:v>SHARED/PLATFORM</x:v>
      </x:c>
      <x:c r="D29" t="str">
        <x:v>Performance</x:v>
      </x:c>
      <x:c r="E29" s="18" t="str">
        <x:v>Đưa performance budget vào CI</x:v>
      </x:c>
      <x:c r="F29" s="18" t="str">
        <x:v>Theo dõi initial gzip, route chunk, Lighthouse và cảnh báo regression.</x:v>
      </x:c>
      <x:c r="G29" s="18" t="str">
        <x:v>P1</x:v>
      </x:c>
      <x:c r="H29" s="18" t="str">
        <x:v>Chưa làm</x:v>
      </x:c>
      <x:c r="I29" s="19" t="n">
        <x:v>8</x:v>
      </x:c>
      <x:c r="J29" s="18" t="str">
        <x:v>Platform</x:v>
      </x:c>
      <x:c r="K29" s="18" t="str">
        <x:v>Sprint 4</x:v>
      </x:c>
      <x:c r="L29" s="20"/>
      <x:c r="M29" s="20"/>
      <x:c r="N29" s="21" t="n">
        <x:v>0</x:v>
      </x:c>
      <x:c r="O29" s="18" t="str">
        <x:v>Trung bình</x:v>
      </x:c>
      <x:c r="P29" s="18" t="str">
        <x:v>ERG-028</x:v>
      </x:c>
      <x:c r="Q29" s="18" t="str">
        <x:v>CI chặn bundle vượt ngưỡng được thống nhất.</x:v>
      </x:c>
      <x:c r="R29" s="18" t="str">
        <x:v>vite.config.ts</x:v>
      </x:c>
    </x:row>
    <x:row r="30" ht="42" customHeight="1">
      <x:c r="A30" t="str">
        <x:v>ERG-036</x:v>
      </x:c>
      <x:c r="B30" t="str">
        <x:v>Giai đoạn 3</x:v>
      </x:c>
      <x:c r="C30" t="str">
        <x:v>LMS</x:v>
      </x:c>
      <x:c r="D30" t="str">
        <x:v>Portal Audit</x:v>
      </x:c>
      <x:c r="E30" s="18" t="str">
        <x:v>Audit toàn bộ LMS API/query/cache</x:v>
      </x:c>
      <x:c r="F30" s="18" t="str">
        <x:v>Rà query key, invalidation, offline persistence, REST/GraphQL boundary và các page lớn của LMS.</x:v>
      </x:c>
      <x:c r="G30" s="18" t="str">
        <x:v>P1</x:v>
      </x:c>
      <x:c r="H30" s="18" t="str">
        <x:v>Chưa làm</x:v>
      </x:c>
      <x:c r="I30" s="19" t="n">
        <x:v>8</x:v>
      </x:c>
      <x:c r="J30" s="18" t="str">
        <x:v>Frontend Team</x:v>
      </x:c>
      <x:c r="K30" s="18" t="str">
        <x:v>Sprint 3</x:v>
      </x:c>
      <x:c r="L30" s="20"/>
      <x:c r="M30" s="20"/>
      <x:c r="N30" s="21" t="n">
        <x:v>0</x:v>
      </x:c>
      <x:c r="O30" s="18" t="str">
        <x:v>Cao</x:v>
      </x:c>
      <x:c r="P30" s="18" t="str">
        <x:v>ERG-012, ERG-029</x:v>
      </x:c>
      <x:c r="Q30" s="18" t="str">
        <x:v>Có inventory API/query và danh sách regression test LMS; không còn invalidation root dư thừa.</x:v>
      </x:c>
      <x:c r="R30" s="18" t="str">
        <x:v>src/features/lms</x:v>
      </x:c>
    </x:row>
    <x:row r="31" ht="42" customHeight="1">
      <x:c r="A31" t="str">
        <x:v>ERG-037</x:v>
      </x:c>
      <x:c r="B31" t="str">
        <x:v>Giai đoạn 3</x:v>
      </x:c>
      <x:c r="C31" t="str">
        <x:v>LCMS</x:v>
      </x:c>
      <x:c r="D31" t="str">
        <x:v>Portal Audit</x:v>
      </x:c>
      <x:c r="E31" s="18" t="str">
        <x:v>Audit toàn bộ LCMS API/query/cache</x:v>
      </x:c>
      <x:c r="F31" s="18" t="str">
        <x:v>Rà quiz editor, question bank, admin operations, school management và teaching calendar.</x:v>
      </x:c>
      <x:c r="G31" s="18" t="str">
        <x:v>P1</x:v>
      </x:c>
      <x:c r="H31" s="18" t="str">
        <x:v>Chưa làm</x:v>
      </x:c>
      <x:c r="I31" s="19" t="n">
        <x:v>8</x:v>
      </x:c>
      <x:c r="J31" s="18" t="str">
        <x:v>Frontend Team</x:v>
      </x:c>
      <x:c r="K31" s="18" t="str">
        <x:v>Sprint 3</x:v>
      </x:c>
      <x:c r="L31" s="20"/>
      <x:c r="M31" s="20"/>
      <x:c r="N31" s="21" t="n">
        <x:v>0</x:v>
      </x:c>
      <x:c r="O31" s="18" t="str">
        <x:v>Cao</x:v>
      </x:c>
      <x:c r="P31" s="18" t="str">
        <x:v>ERG-013, ERG-014, ERG-029</x:v>
      </x:c>
      <x:c r="Q31" s="18" t="str">
        <x:v>Có inventory LCMS và contract/query test cho luồng quản trị quan trọng.</x:v>
      </x:c>
      <x:c r="R31" s="18" t="str">
        <x:v>src/features/lcms</x:v>
      </x:c>
    </x:row>
    <x:row r="32" ht="42" customHeight="1">
      <x:c r="A32" t="str">
        <x:v>ERG-039</x:v>
      </x:c>
      <x:c r="B32" t="str">
        <x:v>Giai đoạn 3</x:v>
      </x:c>
      <x:c r="C32" t="str">
        <x:v>CRM</x:v>
      </x:c>
      <x:c r="D32" t="str">
        <x:v>God file</x:v>
      </x:c>
      <x:c r="E32" s="18" t="str">
        <x:v>Tách SeoCrmWorkspace</x:v>
      </x:c>
      <x:c r="F32" s="18" t="str">
        <x:v>Tách data/query hook, filters, tables, editor panels và mapper; giữ nguyên UI.</x:v>
      </x:c>
      <x:c r="G32" s="18" t="str">
        <x:v>P1</x:v>
      </x:c>
      <x:c r="H32" s="18" t="str">
        <x:v>Chưa làm</x:v>
      </x:c>
      <x:c r="I32" s="19" t="n">
        <x:v>8</x:v>
      </x:c>
      <x:c r="J32" s="18" t="str">
        <x:v>Frontend Team</x:v>
      </x:c>
      <x:c r="K32" s="18" t="str">
        <x:v>Sprint 3-4</x:v>
      </x:c>
      <x:c r="L32" s="20"/>
      <x:c r="M32" s="20"/>
      <x:c r="N32" s="21" t="n">
        <x:v>0</x:v>
      </x:c>
      <x:c r="O32" s="18" t="str">
        <x:v>Trung bình</x:v>
      </x:c>
      <x:c r="P32" s="18" t="str">
        <x:v>ERG-038</x:v>
      </x:c>
      <x:c r="Q32" s="18" t="str">
        <x:v>Workspace CRM dưới 250 dòng; các phần độc lập có unit test.</x:v>
      </x:c>
      <x:c r="R32" s="18" t="str">
        <x:v>src/features/crm/seo/components/seo-crm-workspace.tsx</x:v>
      </x:c>
    </x:row>
    <x:row r="33" ht="42" customHeight="1">
      <x:c r="A33" t="str">
        <x:v>ERG-041</x:v>
      </x:c>
      <x:c r="B33" t="str">
        <x:v>Giai đoạn 3</x:v>
      </x:c>
      <x:c r="C33" t="str">
        <x:v>ELEARNING</x:v>
      </x:c>
      <x:c r="D33" t="str">
        <x:v>God file</x:v>
      </x:c>
      <x:c r="E33" s="18" t="str">
        <x:v>Tách Discussion View và Feed</x:v>
      </x:c>
      <x:c r="F33" s="18" t="str">
        <x:v>Tách query/state, composer, feed item, pagination và moderation behavior.</x:v>
      </x:c>
      <x:c r="G33" s="18" t="str">
        <x:v>P1</x:v>
      </x:c>
      <x:c r="H33" s="18" t="str">
        <x:v>Chưa làm</x:v>
      </x:c>
      <x:c r="I33" s="19" t="n">
        <x:v>8</x:v>
      </x:c>
      <x:c r="J33" s="18" t="str">
        <x:v>Frontend Team</x:v>
      </x:c>
      <x:c r="K33" s="18" t="str">
        <x:v>Sprint 3-4</x:v>
      </x:c>
      <x:c r="L33" s="20"/>
      <x:c r="M33" s="20"/>
      <x:c r="N33" s="21" t="n">
        <x:v>0</x:v>
      </x:c>
      <x:c r="O33" s="18" t="str">
        <x:v>Trung bình</x:v>
      </x:c>
      <x:c r="P33" s="18" t="str">
        <x:v>ERG-022, ERG-040</x:v>
      </x:c>
      <x:c r="Q33" s="18" t="str">
        <x:v>Discussion container dưới 250 dòng; pagination/race condition có test.</x:v>
      </x:c>
      <x:c r="R33" s="18" t="str">
        <x:v>src/features/elearning/student-dashboard/components</x:v>
      </x:c>
    </x:row>
    <x:row r="34" ht="42" customHeight="1">
      <x:c r="A34" t="str">
        <x:v>ERG-023</x:v>
      </x:c>
      <x:c r="B34" t="str">
        <x:v>Giai đoạn 3</x:v>
      </x:c>
      <x:c r="C34" t="str">
        <x:v>SHARED/PLATFORM</x:v>
      </x:c>
      <x:c r="D34" t="str">
        <x:v>God file</x:v>
      </x:c>
      <x:c r="E34" s="18" t="str">
        <x:v>Tách Portal Sidebar</x:v>
      </x:c>
      <x:c r="F34" s="18" t="str">
        <x:v>Tách tree, permission filtering, responsive behavior và presentation.</x:v>
      </x:c>
      <x:c r="G34" s="18" t="str">
        <x:v>P2</x:v>
      </x:c>
      <x:c r="H34" s="18" t="str">
        <x:v>Chưa làm</x:v>
      </x:c>
      <x:c r="I34" s="19" t="n">
        <x:v>8</x:v>
      </x:c>
      <x:c r="J34" s="18" t="str">
        <x:v>Frontend Team</x:v>
      </x:c>
      <x:c r="K34" s="18" t="str">
        <x:v>Sprint 4</x:v>
      </x:c>
      <x:c r="L34" s="20"/>
      <x:c r="M34" s="20"/>
      <x:c r="N34" s="21" t="n">
        <x:v>0</x:v>
      </x:c>
      <x:c r="O34" s="18" t="str">
        <x:v>Trung bình</x:v>
      </x:c>
      <x:c r="P34" s="18" t="str"/>
      <x:c r="Q34" s="18" t="str">
        <x:v>Shell dưới 200 dòng theo AGENTS.md.</x:v>
      </x:c>
      <x:c r="R34" s="18" t="str">
        <x:v>src/components/portal/ErgPortalSidebar.tsx</x:v>
      </x:c>
    </x:row>
    <x:row r="35" ht="42" customHeight="1">
      <x:c r="A35" t="str">
        <x:v>ERG-025</x:v>
      </x:c>
      <x:c r="B35" t="str">
        <x:v>Giai đoạn 3</x:v>
      </x:c>
      <x:c r="C35" t="str">
        <x:v>SHARED/PLATFORM</x:v>
      </x:c>
      <x:c r="D35" t="str">
        <x:v>API Boundary</x:v>
      </x:c>
      <x:c r="E35" s="18" t="str">
        <x:v>Tách Notification API</x:v>
      </x:c>
      <x:c r="F35" s="18" t="str">
        <x:v>Tách transport, mock, normalizer và domain types.</x:v>
      </x:c>
      <x:c r="G35" s="18" t="str">
        <x:v>P2</x:v>
      </x:c>
      <x:c r="H35" s="18" t="str">
        <x:v>Chưa làm</x:v>
      </x:c>
      <x:c r="I35" s="19" t="n">
        <x:v>5</x:v>
      </x:c>
      <x:c r="J35" s="18" t="str">
        <x:v>Frontend Team</x:v>
      </x:c>
      <x:c r="K35" s="18" t="str">
        <x:v>Sprint 4</x:v>
      </x:c>
      <x:c r="L35" s="20"/>
      <x:c r="M35" s="20"/>
      <x:c r="N35" s="21" t="n">
        <x:v>0</x:v>
      </x:c>
      <x:c r="O35" s="18" t="str">
        <x:v>Trung bình</x:v>
      </x:c>
      <x:c r="P35" s="18" t="str">
        <x:v>ERG-016</x:v>
      </x:c>
      <x:c r="Q35" s="18" t="str">
        <x:v>Notification API dưới 300 dòng; mapper có test.</x:v>
      </x:c>
      <x:c r="R35" s="18" t="str">
        <x:v>src/features/notifications/api/notification-api.ts</x:v>
      </x:c>
    </x:row>
    <x:row r="36" ht="42" customHeight="1">
      <x:c r="A36" t="str">
        <x:v>ERG-034</x:v>
      </x:c>
      <x:c r="B36" t="str">
        <x:v>Giai đoạn 4</x:v>
      </x:c>
      <x:c r="C36" t="str">
        <x:v>SHARED/PLATFORM</x:v>
      </x:c>
      <x:c r="D36" t="str">
        <x:v>Documentation</x:v>
      </x:c>
      <x:c r="E36" s="18" t="str">
        <x:v>Viết ADR cho REST, GraphQL, cache và layering</x:v>
      </x:c>
      <x:c r="F36" s="18" t="str">
        <x:v>Ghi quyết định, convention, migration guide và checklist thêm endpoint/field.</x:v>
      </x:c>
      <x:c r="G36" s="18" t="str">
        <x:v>P2</x:v>
      </x:c>
      <x:c r="H36" s="18" t="str">
        <x:v>Chưa làm</x:v>
      </x:c>
      <x:c r="I36" s="19" t="n">
        <x:v>5</x:v>
      </x:c>
      <x:c r="J36" s="18" t="str">
        <x:v>Platform</x:v>
      </x:c>
      <x:c r="K36" s="18" t="str">
        <x:v>Sprint 4</x:v>
      </x:c>
      <x:c r="L36" s="20"/>
      <x:c r="M36" s="20"/>
      <x:c r="N36" s="21" t="n">
        <x:v>0</x:v>
      </x:c>
      <x:c r="O36" s="18" t="str">
        <x:v>Thấp</x:v>
      </x:c>
      <x:c r="P36" s="18" t="str">
        <x:v>ERG-015, ERG-018, ERG-026</x:v>
      </x:c>
      <x:c r="Q36" s="18" t="str">
        <x:v>Developer mới có thể thêm API/query đúng chuẩn theo tài liệu.</x:v>
      </x:c>
      <x:c r="R36" s="18" t="str">
        <x:v>docs/architecture</x:v>
      </x:c>
    </x:row>
    <x:row r="37" ht="42" customHeight="1">
      <x:c r="A37" t="str">
        <x:v>ERG-035</x:v>
      </x:c>
      <x:c r="B37" t="str">
        <x:v>Giai đoạn 4</x:v>
      </x:c>
      <x:c r="C37" t="str">
        <x:v>SHARED/PLATFORM</x:v>
      </x:c>
      <x:c r="D37" t="str">
        <x:v>I18n</x:v>
      </x:c>
      <x:c r="E37" s="18" t="str">
        <x:v>Tách messages theo feature</x:v>
      </x:c>
      <x:c r="F37" s="18" t="str">
        <x:v>Giảm file locale lớn và tránh conflict khi nhiều nhóm cùng sửa.</x:v>
      </x:c>
      <x:c r="G37" s="18" t="str">
        <x:v>P2</x:v>
      </x:c>
      <x:c r="H37" s="18" t="str">
        <x:v>Chưa làm</x:v>
      </x:c>
      <x:c r="I37" s="19" t="n">
        <x:v>5</x:v>
      </x:c>
      <x:c r="J37" s="18" t="str">
        <x:v>Frontend Team</x:v>
      </x:c>
      <x:c r="K37" s="18" t="str">
        <x:v>Backlog</x:v>
      </x:c>
      <x:c r="L37" s="20"/>
      <x:c r="M37" s="20"/>
      <x:c r="N37" s="21" t="n">
        <x:v>0</x:v>
      </x:c>
      <x:c r="O37" s="18" t="str">
        <x:v>Thấp</x:v>
      </x:c>
      <x:c r="P37" s="18" t="str"/>
      <x:c r="Q37" s="18" t="str">
        <x:v>Mỗi feature sở hữu locale module; key validation vẫn đạt.</x:v>
      </x:c>
      <x:c r="R37" s="18" t="str">
        <x:v>src/platform/i18n/messages.ts</x:v>
      </x:c>
    </x:row>
    <x:row r="38" ht="42" customHeight="1">
      <x:c r="A38" t="str">
        <x:v>ERG-001</x:v>
      </x:c>
      <x:c r="B38" t="str">
        <x:v>Nền tảng</x:v>
      </x:c>
      <x:c r="C38" t="str">
        <x:v>SHARED/PLATFORM</x:v>
      </x:c>
      <x:c r="D38" t="str">
        <x:v>API/Endpoint</x:v>
      </x:c>
      <x:c r="E38" s="18" t="str">
        <x:v>Gom endpoint REST vào registry tập trung</x:v>
      </x:c>
      <x:c r="F38" s="18" t="str">
        <x:v>Loại bỏ endpoint literal rải rác và chuẩn hóa dynamic path.</x:v>
      </x:c>
      <x:c r="G38" s="18" t="str">
        <x:v>P0</x:v>
      </x:c>
      <x:c r="H38" s="18" t="str">
        <x:v>Hoàn thành</x:v>
      </x:c>
      <x:c r="I38" s="19" t="n">
        <x:v>8</x:v>
      </x:c>
      <x:c r="J38" s="18" t="str">
        <x:v>Platform</x:v>
      </x:c>
      <x:c r="K38" s="18" t="str">
        <x:v>Đợt trước</x:v>
      </x:c>
      <x:c r="L38" s="20"/>
      <x:c r="M38" s="20"/>
      <x:c r="N38" s="21" t="n">
        <x:v>1</x:v>
      </x:c>
      <x:c r="O38" s="18" t="str">
        <x:v>Thấp</x:v>
      </x:c>
      <x:c r="P38" s="18" t="str"/>
      <x:c r="Q38" s="18" t="str">
        <x:v>Endpoint check đạt; endpoint mới chỉ thêm tại registry.</x:v>
      </x:c>
      <x:c r="R38" s="18" t="str">
        <x:v>src/lib/api/api-endpoints.ts</x:v>
      </x:c>
    </x:row>
    <x:row r="39" ht="42" customHeight="1">
      <x:c r="A39" t="str">
        <x:v>ERG-002</x:v>
      </x:c>
      <x:c r="B39" t="str">
        <x:v>Nền tảng</x:v>
      </x:c>
      <x:c r="C39" t="str">
        <x:v>SHARED/PLATFORM</x:v>
      </x:c>
      <x:c r="D39" t="str">
        <x:v>API/Endpoint</x:v>
      </x:c>
      <x:c r="E39" s="18" t="str">
        <x:v>Bổ sung endpoint literal guard</x:v>
      </x:c>
      <x:c r="F39" s="18" t="str">
        <x:v>Chặn endpoint BE mới được viết trực tiếp ngoài registry.</x:v>
      </x:c>
      <x:c r="G39" s="18" t="str">
        <x:v>P0</x:v>
      </x:c>
      <x:c r="H39" s="18" t="str">
        <x:v>Hoàn thành</x:v>
      </x:c>
      <x:c r="I39" s="19" t="n">
        <x:v>3</x:v>
      </x:c>
      <x:c r="J39" s="18" t="str">
        <x:v>Platform</x:v>
      </x:c>
      <x:c r="K39" s="18" t="str">
        <x:v>Đợt trước</x:v>
      </x:c>
      <x:c r="L39" s="20"/>
      <x:c r="M39" s="20"/>
      <x:c r="N39" s="21" t="n">
        <x:v>1</x:v>
      </x:c>
      <x:c r="O39" s="18" t="str">
        <x:v>Thấp</x:v>
      </x:c>
      <x:c r="P39" s="18" t="str">
        <x:v>ERG-001</x:v>
      </x:c>
      <x:c r="Q39" s="18" t="str">
        <x:v>bun run endpoint:check đạt.</x:v>
      </x:c>
      <x:c r="R39" s="18" t="str">
        <x:v>scripts/check-api-endpoint-literals.mjs</x:v>
      </x:c>
    </x:row>
    <x:row r="40" ht="42" customHeight="1">
      <x:c r="A40" t="str">
        <x:v>ERG-003</x:v>
      </x:c>
      <x:c r="B40" t="str">
        <x:v>Nền tảng</x:v>
      </x:c>
      <x:c r="C40" t="str">
        <x:v>SHARED/PLATFORM</x:v>
      </x:c>
      <x:c r="D40" t="str">
        <x:v>Cache</x:v>
      </x:c>
      <x:c r="E40" s="18" t="str">
        <x:v>Chuẩn hóa query policy</x:v>
      </x:c>
      <x:c r="F40" s="18" t="str">
        <x:v>Tập trung staleTime/gcTime cho realtime, transactional, reference, offline core và sensitive.</x:v>
      </x:c>
      <x:c r="G40" s="18" t="str">
        <x:v>P0</x:v>
      </x:c>
      <x:c r="H40" s="18" t="str">
        <x:v>Hoàn thành</x:v>
      </x:c>
      <x:c r="I40" s="19" t="n">
        <x:v>5</x:v>
      </x:c>
      <x:c r="J40" s="18" t="str">
        <x:v>Platform</x:v>
      </x:c>
      <x:c r="K40" s="18" t="str">
        <x:v>Đợt trước</x:v>
      </x:c>
      <x:c r="L40" s="20"/>
      <x:c r="M40" s="20"/>
      <x:c r="N40" s="21" t="n">
        <x:v>1</x:v>
      </x:c>
      <x:c r="O40" s="18" t="str">
        <x:v>Thấp</x:v>
      </x:c>
      <x:c r="P40" s="18" t="str"/>
      <x:c r="Q40" s="18" t="str">
        <x:v>Không còn TTL quan trọng bị hard-code trong feature đã migrate.</x:v>
      </x:c>
      <x:c r="R40" s="18" t="str">
        <x:v>src/lib/query-policy.ts</x:v>
      </x:c>
    </x:row>
    <x:row r="41" ht="42" customHeight="1">
      <x:c r="A41" t="str">
        <x:v>ERG-004</x:v>
      </x:c>
      <x:c r="B41" t="str">
        <x:v>Nền tảng</x:v>
      </x:c>
      <x:c r="C41" t="str">
        <x:v>SHARED/PLATFORM</x:v>
      </x:c>
      <x:c r="D41" t="str">
        <x:v>Cache</x:v>
      </x:c>
      <x:c r="E41" s="18" t="str">
        <x:v>Giới hạn TanStack Query persistence</x:v>
      </x:c>
      <x:c r="F41" s="18" t="str">
        <x:v>Allowlist dữ liệu offline, loại auth/session/token/security và scope theo tenant/account.</x:v>
      </x:c>
      <x:c r="G41" s="18" t="str">
        <x:v>P0</x:v>
      </x:c>
      <x:c r="H41" s="18" t="str">
        <x:v>Hoàn thành</x:v>
      </x:c>
      <x:c r="I41" s="19" t="n">
        <x:v>8</x:v>
      </x:c>
      <x:c r="J41" s="18" t="str">
        <x:v>Platform</x:v>
      </x:c>
      <x:c r="K41" s="18" t="str">
        <x:v>Đợt trước</x:v>
      </x:c>
      <x:c r="L41" s="20"/>
      <x:c r="M41" s="20"/>
      <x:c r="N41" s="21" t="n">
        <x:v>1</x:v>
      </x:c>
      <x:c r="O41" s="18" t="str">
        <x:v>Thấp</x:v>
      </x:c>
      <x:c r="P41" s="18" t="str">
        <x:v>ERG-003</x:v>
      </x:c>
      <x:c r="Q41" s="18" t="str">
        <x:v>Test persistence đạt; cache buster đã tăng version.</x:v>
      </x:c>
      <x:c r="R41" s="18" t="str">
        <x:v>src/lib/query-persistence.ts</x:v>
      </x:c>
    </x:row>
    <x:row r="42" ht="42" customHeight="1">
      <x:c r="A42" t="str">
        <x:v>ERG-005</x:v>
      </x:c>
      <x:c r="B42" t="str">
        <x:v>Nền tảng</x:v>
      </x:c>
      <x:c r="C42" t="str">
        <x:v>SHARED/PLATFORM</x:v>
      </x:c>
      <x:c r="D42" t="str">
        <x:v>REST Client</x:v>
      </x:c>
      <x:c r="E42" s="18" t="str">
        <x:v>Dedupe GET và sửa AbortSignal</x:v>
      </x:c>
      <x:c r="F42" s="18" t="str">
        <x:v>Dedupe theo response variant; request có signal không dùng chung; cleanup listener.</x:v>
      </x:c>
      <x:c r="G42" s="18" t="str">
        <x:v>P0</x:v>
      </x:c>
      <x:c r="H42" s="18" t="str">
        <x:v>Hoàn thành</x:v>
      </x:c>
      <x:c r="I42" s="19" t="n">
        <x:v>8</x:v>
      </x:c>
      <x:c r="J42" s="18" t="str">
        <x:v>Platform</x:v>
      </x:c>
      <x:c r="K42" s="18" t="str">
        <x:v>Đợt trước</x:v>
      </x:c>
      <x:c r="L42" s="20"/>
      <x:c r="M42" s="20"/>
      <x:c r="N42" s="21" t="n">
        <x:v>1</x:v>
      </x:c>
      <x:c r="O42" s="18" t="str">
        <x:v>Thấp</x:v>
      </x:c>
      <x:c r="P42" s="18" t="str"/>
      <x:c r="Q42" s="18" t="str">
        <x:v>API client regression tests đạt.</x:v>
      </x:c>
      <x:c r="R42" s="18" t="str">
        <x:v>src/lib/api-client.ts</x:v>
      </x:c>
    </x:row>
    <x:row r="43" ht="42" customHeight="1">
      <x:c r="A43" t="str">
        <x:v>ERG-008</x:v>
      </x:c>
      <x:c r="B43" t="str">
        <x:v>Chất lượng</x:v>
      </x:c>
      <x:c r="C43" t="str">
        <x:v>SHARED/PLATFORM</x:v>
      </x:c>
      <x:c r="D43" t="str">
        <x:v>Verification</x:v>
      </x:c>
      <x:c r="E43" s="18" t="str">
        <x:v>Đưa lint/typecheck/build/API contract về trạng thái sạch</x:v>
      </x:c>
      <x:c r="F43" s="18" t="str">
        <x:v>Xác minh regression cho API, cache và query policy.</x:v>
      </x:c>
      <x:c r="G43" s="18" t="str">
        <x:v>P0</x:v>
      </x:c>
      <x:c r="H43" s="18" t="str">
        <x:v>Hoàn thành</x:v>
      </x:c>
      <x:c r="I43" s="19" t="n">
        <x:v>5</x:v>
      </x:c>
      <x:c r="J43" s="18" t="str">
        <x:v>QA</x:v>
      </x:c>
      <x:c r="K43" s="18" t="str">
        <x:v>Đợt trước</x:v>
      </x:c>
      <x:c r="L43" s="20"/>
      <x:c r="M43" s="20"/>
      <x:c r="N43" s="21" t="n">
        <x:v>1</x:v>
      </x:c>
      <x:c r="O43" s="18" t="str">
        <x:v>Thấp</x:v>
      </x:c>
      <x:c r="P43" s="18" t="str">
        <x:v>ERG-001, ERG-003, ERG-005</x:v>
      </x:c>
      <x:c r="Q43" s="18" t="str">
        <x:v>Lint, typecheck, build, endpoint và contract đều đạt.</x:v>
      </x:c>
      <x:c r="R43" s="18" t="str">
        <x:v>package.json</x:v>
      </x:c>
    </x:row>
    <x:row r="44" ht="42" customHeight="1">
      <x:c r="A44" t="str">
        <x:v>ERG-009</x:v>
      </x:c>
      <x:c r="B44" t="str">
        <x:v>Giai đoạn 1</x:v>
      </x:c>
      <x:c r="C44" t="str">
        <x:v>SHARED/PLATFORM</x:v>
      </x:c>
      <x:c r="D44" t="str">
        <x:v>GraphQL</x:v>
      </x:c>
      <x:c r="E44" s="18" t="str">
        <x:v>Truyền AbortSignal từ TanStack Query xuống GraphQL</x:v>
      </x:c>
      <x:c r="F44" s="18" t="str">
        <x:v>Cho phép hủy request cũ khi đổi route/filter/class/tháng lịch.</x:v>
      </x:c>
      <x:c r="G44" s="18" t="str">
        <x:v>P0</x:v>
      </x:c>
      <x:c r="H44" s="18" t="str">
        <x:v>Hoàn thành</x:v>
      </x:c>
      <x:c r="I44" s="19" t="n">
        <x:v>5</x:v>
      </x:c>
      <x:c r="J44" s="18" t="str">
        <x:v>Platform</x:v>
      </x:c>
      <x:c r="K44" s="18" t="str">
        <x:v>Sprint 1</x:v>
      </x:c>
      <x:c r="L44" s="20"/>
      <x:c r="M44" s="20"/>
      <x:c r="N44" s="21" t="n">
        <x:v>1</x:v>
      </x:c>
      <x:c r="O44" s="18" t="str">
        <x:v>Thấp</x:v>
      </x:c>
      <x:c r="P44" s="18" t="str"/>
      <x:c r="Q44" s="18" t="str">
        <x:v>Request cũ bị abort; có test cancellation và không phát sinh auth event sai.</x:v>
      </x:c>
      <x:c r="R44" s="18" t="str">
        <x:v>src/lib/graphql-client.ts; src/lib/graphql-client.test.ts</x:v>
      </x:c>
    </x:row>
    <x:row r="45" ht="42" customHeight="1">
      <x:c r="A45" t="str">
        <x:v>ERG-010</x:v>
      </x:c>
      <x:c r="B45" t="str">
        <x:v>Giai đoạn 1</x:v>
      </x:c>
      <x:c r="C45" t="str">
        <x:v>SHARED/PLATFORM</x:v>
      </x:c>
      <x:c r="D45" t="str">
        <x:v>GraphQL</x:v>
      </x:c>
      <x:c r="E45" s="18" t="str">
        <x:v>Làm rõ tenant handling GraphQL</x:v>
      </x:c>
      <x:c r="F45" s="18" t="str">
        <x:v>Bỏ tenantId nếu BE lấy từ session hoặc enforce tenant khớp session; không giữ tham số bị bỏ qua.</x:v>
      </x:c>
      <x:c r="G45" s="18" t="str">
        <x:v>P0</x:v>
      </x:c>
      <x:c r="H45" s="18" t="str">
        <x:v>Hoàn thành</x:v>
      </x:c>
      <x:c r="I45" s="19" t="n">
        <x:v>5</x:v>
      </x:c>
      <x:c r="J45" s="18" t="str">
        <x:v>Platform</x:v>
      </x:c>
      <x:c r="K45" s="18" t="str">
        <x:v>Sprint 1</x:v>
      </x:c>
      <x:c r="L45" s="20"/>
      <x:c r="M45" s="20"/>
      <x:c r="N45" s="21" t="n">
        <x:v>1</x:v>
      </x:c>
      <x:c r="O45" s="18" t="str">
        <x:v>Thấp</x:v>
      </x:c>
      <x:c r="P45" s="18" t="str"/>
      <x:c r="Q45" s="18" t="str">
        <x:v>Không còn void tenantId; test tenant isolation đạt.</x:v>
      </x:c>
      <x:c r="R45" s="18" t="str">
        <x:v>src/lib/graphql-client.ts; src/lib/graphql-client.test.ts</x:v>
      </x:c>
    </x:row>
    <x:row r="46" ht="42" customHeight="1">
      <x:c r="A46" t="str">
        <x:v>ERG-011</x:v>
      </x:c>
      <x:c r="B46" t="str">
        <x:v>Giai đoạn 1</x:v>
      </x:c>
      <x:c r="C46" t="str">
        <x:v>SHARED/PLATFORM</x:v>
      </x:c>
      <x:c r="D46" t="str">
        <x:v>GraphQL</x:v>
      </x:c>
      <x:c r="E46" s="18" t="str">
        <x:v>Thêm errorPolicy cho partial response</x:v>
      </x:c>
      <x:c r="F46" s="18" t="str">
        <x:v>Phân biệt throw và allow-partial; mutation/dữ liệu quan trọng mặc định throw.</x:v>
      </x:c>
      <x:c r="G46" s="18" t="str">
        <x:v>P0</x:v>
      </x:c>
      <x:c r="H46" s="18" t="str">
        <x:v>Hoàn thành</x:v>
      </x:c>
      <x:c r="I46" s="19" t="n">
        <x:v>5</x:v>
      </x:c>
      <x:c r="J46" s="18" t="str">
        <x:v>Platform</x:v>
      </x:c>
      <x:c r="K46" s="18" t="str">
        <x:v>Sprint 1</x:v>
      </x:c>
      <x:c r="L46" s="20"/>
      <x:c r="M46" s="20"/>
      <x:c r="N46" s="21" t="n">
        <x:v>1</x:v>
      </x:c>
      <x:c r="O46" s="18" t="str">
        <x:v>Thấp</x:v>
      </x:c>
      <x:c r="P46" s="18" t="str"/>
      <x:c r="Q46" s="18" t="str">
        <x:v>Partial data được xử lý theo policy; không log raw error production.</x:v>
      </x:c>
      <x:c r="R46" s="18" t="str">
        <x:v>src/lib/graphql-client.ts; src/lib/graphql-client.test.ts</x:v>
      </x:c>
    </x:row>
    <x:row r="47" ht="42" customHeight="1">
      <x:c r="A47" t="str">
        <x:v>ERG-006</x:v>
      </x:c>
      <x:c r="B47" t="str">
        <x:v>Hiệu năng</x:v>
      </x:c>
      <x:c r="C47" t="str">
        <x:v>SHARED/PLATFORM</x:v>
      </x:c>
      <x:c r="D47" t="str">
        <x:v>Bundle</x:v>
      </x:c>
      <x:c r="E47" s="18" t="str">
        <x:v>Lazy-load XLSX/PDF và dashboard workspaces</x:v>
      </x:c>
      <x:c r="F47" s="18" t="str">
        <x:v>Không đưa thư viện nặng và workspace hiếm dùng vào initial route.</x:v>
      </x:c>
      <x:c r="G47" s="18" t="str">
        <x:v>P1</x:v>
      </x:c>
      <x:c r="H47" s="18" t="str">
        <x:v>Hoàn thành</x:v>
      </x:c>
      <x:c r="I47" s="19" t="n">
        <x:v>8</x:v>
      </x:c>
      <x:c r="J47" s="18" t="str">
        <x:v>Frontend Team</x:v>
      </x:c>
      <x:c r="K47" s="18" t="str">
        <x:v>Đợt trước</x:v>
      </x:c>
      <x:c r="L47" s="20"/>
      <x:c r="M47" s="20"/>
      <x:c r="N47" s="21" t="n">
        <x:v>1</x:v>
      </x:c>
      <x:c r="O47" s="18" t="str">
        <x:v>Thấp</x:v>
      </x:c>
      <x:c r="P47" s="18" t="str"/>
      <x:c r="Q47" s="18" t="str">
        <x:v>Build đạt; workspace được sinh thành chunk riêng.</x:v>
      </x:c>
      <x:c r="R47" s="18" t="str">
        <x:v>src/layouts/dashboard/components/dashboard-content.tsx</x:v>
      </x:c>
    </x:row>
    <x:row r="48" ht="42" customHeight="1">
      <x:c r="A48" t="str">
        <x:v>ERG-007</x:v>
      </x:c>
      <x:c r="B48" t="str">
        <x:v>Hiệu năng</x:v>
      </x:c>
      <x:c r="C48" t="str">
        <x:v>SHARED/PLATFORM</x:v>
      </x:c>
      <x:c r="D48" t="str">
        <x:v>Render</x:v>
      </x:c>
      <x:c r="E48" s="18" t="str">
        <x:v>Ổn định hook dependency và memoization</x:v>
      </x:c>
      <x:c r="F48" s="18" t="str">
        <x:v>Memo hóa derived data và callback tại các workspace có render thường xuyên.</x:v>
      </x:c>
      <x:c r="G48" s="18" t="str">
        <x:v>P1</x:v>
      </x:c>
      <x:c r="H48" s="18" t="str">
        <x:v>Hoàn thành</x:v>
      </x:c>
      <x:c r="I48" s="19" t="n">
        <x:v>5</x:v>
      </x:c>
      <x:c r="J48" s="18" t="str">
        <x:v>Frontend Team</x:v>
      </x:c>
      <x:c r="K48" s="18" t="str">
        <x:v>Đợt trước</x:v>
      </x:c>
      <x:c r="L48" s="20"/>
      <x:c r="M48" s="20"/>
      <x:c r="N48" s="21" t="n">
        <x:v>1</x:v>
      </x:c>
      <x:c r="O48" s="18" t="str">
        <x:v>Thấp</x:v>
      </x:c>
      <x:c r="P48" s="18" t="str"/>
      <x:c r="Q48" s="18" t="str">
        <x:v>ESLint không còn exhaustive-deps warning.</x:v>
      </x:c>
      <x:c r="R48" s="18" t="str">
        <x:v>Nhiều feature</x:v>
      </x:c>
    </x:row>
  </x:sheetData>
  <x:mergeCells>
    <x:mergeCell ref="A1:R1"/>
    <x:mergeCell ref="A2:R2"/>
  </x:mergeCells>
  <x:conditionalFormatting sqref="H6:H205">
    <x:cfRule type="containsText" dxfId="0" priority="1" operator="containsText" text="Hoàn thành"/>
    <x:cfRule type="containsText" dxfId="1" priority="2" operator="containsText" text="Đang làm"/>
    <x:cfRule type="containsText" dxfId="2" priority="3" operator="containsText" text="Bị chặn"/>
    <x:cfRule type="containsText" dxfId="3" priority="4" operator="containsText" text="Chưa làm"/>
  </x:conditionalFormatting>
  <x:conditionalFormatting sqref="G6:G205">
    <x:cfRule type="containsText" dxfId="4" priority="5" operator="containsText" text="P0"/>
    <x:cfRule type="containsText" dxfId="5" priority="6" operator="containsText" text="P1"/>
    <x:cfRule type="containsText" dxfId="6" priority="7" operator="containsText" text="P2"/>
  </x:conditionalFormatting>
  <x:conditionalFormatting sqref="N6:N205">
    <x:cfRule type="dataBar" priority="8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{11CA22FD-FBA6-B698-3E93-37FC102348C0}</x14:id>
        </x:ext>
      </x:extLst>
    </x:cfRule>
  </x:conditionalFormatting>
  <x:dataValidations count="6">
    <x:dataValidation type="list" sqref="C6:C205">
      <x:formula1>"SHARED/PLATFORM,LMS,LCMS,CRM,ELEARNING"</x:formula1>
    </x:dataValidation>
    <x:dataValidation type="list" sqref="G6:G205">
      <x:formula1>"P0,P1,P2"</x:formula1>
    </x:dataValidation>
    <x:dataValidation type="list" sqref="H6:H205">
      <x:formula1>"Chưa làm,Đang làm,Bị chặn,Hoàn thành"</x:formula1>
    </x:dataValidation>
    <x:dataValidation type="list" sqref="J6:J205">
      <x:formula1>"Platform,Frontend Team,QA,Product"</x:formula1>
    </x:dataValidation>
    <x:dataValidation type="list" sqref="O6:O205">
      <x:formula1>"Cao,Trung bình,Thấp"</x:formula1>
    </x:dataValidation>
    <x:dataValidation type="decimal" operator="between" sqref="N6:N20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594dce4141649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11CA22FD-FBA6-B698-3E93-37FC102348C0}">
            <x14:dataBar gradient="1">
              <x14:cfvo type="min"/>
              <x14:cfvo type="max"/>
              <x14:fillColor rgb="FF2563EB"/>
            </x14:dataBar>
          </x14:cfRule>
          <xm:sqref>N6:N205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6" hidden="0" customWidth="1"/>
    <x:col min="5" max="5" width="36" hidden="0" customWidth="1"/>
    <x:col min="6" max="6" width="48" hidden="0" customWidth="1"/>
    <x:col min="7" max="7" width="13" hidden="0" customWidth="1"/>
    <x:col min="8" max="8" width="13" hidden="0" customWidth="1"/>
    <x:col min="9" max="9" width="10" hidden="0" customWidth="1"/>
    <x:col min="10" max="10" width="16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22" hidden="0" customWidth="1"/>
    <x:col min="17" max="17" width="52" hidden="0" customWidth="1"/>
    <x:col min="18" max="18" width="44" hidden="0" customWidth="1"/>
  </x:cols>
  <x:sheetData>
    <x:row r="1" ht="32" customHeight="1">
      <x:c r="A1" s="23" t="str">
        <x:v>ERG-SPRING — BACKEND DELIVERY BOARD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</x:row>
    <x:row r="2" ht="24" customHeight="1">
      <x:c r="A2" s="25" t="str">
        <x:v>Sắp xếp mặc định: Trạng thái → Ưu tiên → Hạn → ID • Scope: D:/ERG/erg-spring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</x:row>
    <x:row r="5">
      <x:c r="A5" t="str">
        <x:v>ID</x:v>
      </x:c>
      <x:c r="B5" t="str">
        <x:v>Giai đoạn</x:v>
      </x:c>
      <x:c r="C5" t="str">
        <x:v>Portal</x:v>
      </x:c>
      <x:c r="D5" t="str">
        <x:v>Nhóm</x:v>
      </x:c>
      <x:c r="E5" t="str">
        <x:v>Task</x:v>
      </x:c>
      <x:c r="F5" t="str">
        <x:v>Mô tả</x:v>
      </x:c>
      <x:c r="G5" t="str">
        <x:v>Ưu tiên</x:v>
      </x:c>
      <x:c r="H5" t="str">
        <x:v>Trạng thái</x:v>
      </x:c>
      <x:c r="I5" t="str">
        <x:v>Effort</x:v>
      </x:c>
      <x:c r="J5" t="str">
        <x:v>Owner</x:v>
      </x:c>
      <x:c r="K5" t="str">
        <x:v>Sprint</x:v>
      </x:c>
      <x:c r="L5" t="str">
        <x:v>Bắt đầu</x:v>
      </x:c>
      <x:c r="M5" t="str">
        <x:v>Hạn</x:v>
      </x:c>
      <x:c r="N5" t="str">
        <x:v>Tiến độ</x:v>
      </x:c>
      <x:c r="O5" t="str">
        <x:v>Rủi ro</x:v>
      </x:c>
      <x:c r="P5" t="str">
        <x:v>Phụ thuộc</x:v>
      </x:c>
      <x:c r="Q5" t="str">
        <x:v>Tiêu chí hoàn thành</x:v>
      </x:c>
      <x:c r="R5" t="str">
        <x:v>File/Phạm vi</x:v>
      </x:c>
    </x:row>
    <x:row r="6" ht="44" customHeight="1">
      <x:c r="A6" t="str">
        <x:v>BE-001</x:v>
      </x:c>
      <x:c r="B6" t="str">
        <x:v>Giai đoạn 1</x:v>
      </x:c>
      <x:c r="C6" t="str">
        <x:v>ERG-SPRING</x:v>
      </x:c>
      <x:c r="D6" t="str">
        <x:v>API Contract</x:v>
      </x:c>
      <x:c r="E6" s="18" t="str">
        <x:v>Audit toàn bộ REST controller và endpoint</x:v>
      </x:c>
      <x:c r="F6" s="18" t="str">
        <x:v>Lập inventory controller, endpoint, method, request/response và endpoint legacy.</x:v>
      </x:c>
      <x:c r="G6" s="18" t="str">
        <x:v>P0</x:v>
      </x:c>
      <x:c r="H6" s="18" t="str">
        <x:v>Đang làm</x:v>
      </x:c>
      <x:c r="I6" s="19" t="n">
        <x:v>8</x:v>
      </x:c>
      <x:c r="J6" s="18" t="str">
        <x:v>Backend Team</x:v>
      </x:c>
      <x:c r="K6" s="18" t="str">
        <x:v>Sprint 1</x:v>
      </x:c>
      <x:c r="L6" s="20" t="n">
        <x:v>46223</x:v>
      </x:c>
      <x:c r="M6" s="20" t="n">
        <x:v>46225</x:v>
      </x:c>
      <x:c r="N6" s="21" t="n">
        <x:v>0.2</x:v>
      </x:c>
      <x:c r="O6" s="18" t="str">
        <x:v>Cao</x:v>
      </x:c>
      <x:c r="P6" s="18" t="str"/>
      <x:c r="Q6" s="18" t="str">
        <x:v>Có inventory endpoint và danh sách endpoint deprecated/duplicate.</x:v>
      </x:c>
      <x:c r="R6" s="18" t="str">
        <x:v>src/main/java/**/controller; contracts/openapi</x:v>
      </x:c>
    </x:row>
    <x:row r="7" ht="44" customHeight="1">
      <x:c r="A7" t="str">
        <x:v>BE-002</x:v>
      </x:c>
      <x:c r="B7" t="str">
        <x:v>Giai đoạn 1</x:v>
      </x:c>
      <x:c r="C7" t="str">
        <x:v>ERG-SPRING</x:v>
      </x:c>
      <x:c r="D7" t="str">
        <x:v>OpenAPI</x:v>
      </x:c>
      <x:c r="E7" s="18" t="str">
        <x:v>Chuẩn hóa OpenAPI là source of truth</x:v>
      </x:c>
      <x:c r="F7" s="18" t="str">
        <x:v>Đảm bảo contract export ổn định, có version và CI phát hiện drift với FE.</x:v>
      </x:c>
      <x:c r="G7" s="18" t="str">
        <x:v>P0</x:v>
      </x:c>
      <x:c r="H7" s="18" t="str">
        <x:v>Chưa làm</x:v>
      </x:c>
      <x:c r="I7" s="19" t="n">
        <x:v>8</x:v>
      </x:c>
      <x:c r="J7" s="18" t="str">
        <x:v>Backend Team</x:v>
      </x:c>
      <x:c r="K7" s="18" t="str">
        <x:v>Sprint 1</x:v>
      </x:c>
      <x:c r="L7" s="20"/>
      <x:c r="M7" s="20" t="n">
        <x:v>46227</x:v>
      </x:c>
      <x:c r="N7" s="21" t="n">
        <x:v>0</x:v>
      </x:c>
      <x:c r="O7" s="18" t="str">
        <x:v>Cao</x:v>
      </x:c>
      <x:c r="P7" s="18" t="str">
        <x:v>BE-001</x:v>
      </x:c>
      <x:c r="Q7" s="18" t="str">
        <x:v>OpenAPI sync và contract lock chạy tự động trong CI.</x:v>
      </x:c>
      <x:c r="R7" s="18" t="str">
        <x:v>contracts/openapi; scripts</x:v>
      </x:c>
    </x:row>
    <x:row r="8" ht="44" customHeight="1">
      <x:c r="A8" t="str">
        <x:v>BE-003</x:v>
      </x:c>
      <x:c r="B8" t="str">
        <x:v>Giai đoạn 1</x:v>
      </x:c>
      <x:c r="C8" t="str">
        <x:v>ERG-SPRING</x:v>
      </x:c>
      <x:c r="D8" t="str">
        <x:v>GraphQL</x:v>
      </x:c>
      <x:c r="E8" s="18" t="str">
        <x:v>Chuẩn hóa GraphQL schema và operation contract</x:v>
      </x:c>
      <x:c r="F8" s="18" t="str">
        <x:v>Rà schema, nullability, pagination, enum, operation name và compatibility với bốn portal.</x:v>
      </x:c>
      <x:c r="G8" s="18" t="str">
        <x:v>P0</x:v>
      </x:c>
      <x:c r="H8" s="18" t="str">
        <x:v>Chưa làm</x:v>
      </x:c>
      <x:c r="I8" s="19" t="n">
        <x:v>13</x:v>
      </x:c>
      <x:c r="J8" s="18" t="str">
        <x:v>Backend Team</x:v>
      </x:c>
      <x:c r="K8" s="18" t="str">
        <x:v>Sprint 1</x:v>
      </x:c>
      <x:c r="L8" s="20"/>
      <x:c r="M8" s="20" t="n">
        <x:v>46228</x:v>
      </x:c>
      <x:c r="N8" s="21" t="n">
        <x:v>0</x:v>
      </x:c>
      <x:c r="O8" s="18" t="str">
        <x:v>Cao</x:v>
      </x:c>
      <x:c r="P8" s="18" t="str">
        <x:v>BE-001</x:v>
      </x:c>
      <x:c r="Q8" s="18" t="str">
        <x:v>Schema check bắt breaking change trước khi merge.</x:v>
      </x:c>
      <x:c r="R8" s="18" t="str">
        <x:v>src/main/resources/graphql/schema.graphqls</x:v>
      </x:c>
    </x:row>
    <x:row r="9" ht="44" customHeight="1">
      <x:c r="A9" t="str">
        <x:v>BE-004</x:v>
      </x:c>
      <x:c r="B9" t="str">
        <x:v>Giai đoạn 1</x:v>
      </x:c>
      <x:c r="C9" t="str">
        <x:v>ERG-SPRING</x:v>
      </x:c>
      <x:c r="D9" t="str">
        <x:v>Multi-tenant</x:v>
      </x:c>
      <x:c r="E9" s="18" t="str">
        <x:v>Kiểm tra tenant isolation REST và GraphQL</x:v>
      </x:c>
      <x:c r="F9" s="18" t="str">
        <x:v>Mọi query/command lấy tenant từ security context và reject cross-tenant access.</x:v>
      </x:c>
      <x:c r="G9" s="18" t="str">
        <x:v>P0</x:v>
      </x:c>
      <x:c r="H9" s="18" t="str">
        <x:v>Chưa làm</x:v>
      </x:c>
      <x:c r="I9" s="19" t="n">
        <x:v>13</x:v>
      </x:c>
      <x:c r="J9" s="18" t="str">
        <x:v>Backend Team</x:v>
      </x:c>
      <x:c r="K9" s="18" t="str">
        <x:v>Sprint 1</x:v>
      </x:c>
      <x:c r="L9" s="20"/>
      <x:c r="M9" s="20" t="n">
        <x:v>46229</x:v>
      </x:c>
      <x:c r="N9" s="21" t="n">
        <x:v>0</x:v>
      </x:c>
      <x:c r="O9" s="18" t="str">
        <x:v>Cao</x:v>
      </x:c>
      <x:c r="P9" s="18" t="str">
        <x:v>BE-003</x:v>
      </x:c>
      <x:c r="Q9" s="18" t="str">
        <x:v>Integration test cross-tenant đạt cho LMS, LCMS, CRM và ELEARNING.</x:v>
      </x:c>
      <x:c r="R9" s="18" t="str">
        <x:v>src/main/java/**/security; platform/graphql</x:v>
      </x:c>
    </x:row>
    <x:row r="10" ht="44" customHeight="1">
      <x:c r="A10" t="str">
        <x:v>BE-005</x:v>
      </x:c>
      <x:c r="B10" t="str">
        <x:v>Giai đoạn 1</x:v>
      </x:c>
      <x:c r="C10" t="str">
        <x:v>ERG-SPRING</x:v>
      </x:c>
      <x:c r="D10" t="str">
        <x:v>Auth</x:v>
      </x:c>
      <x:c r="E10" s="18" t="str">
        <x:v>Audit access token, refresh và session lifecycle</x:v>
      </x:c>
      <x:c r="F10" s="18" t="str">
        <x:v>Rà rotation, reuse detection, session replacement, disabled account và portal authorization.</x:v>
      </x:c>
      <x:c r="G10" s="18" t="str">
        <x:v>P0</x:v>
      </x:c>
      <x:c r="H10" s="18" t="str">
        <x:v>Chưa làm</x:v>
      </x:c>
      <x:c r="I10" s="19" t="n">
        <x:v>13</x:v>
      </x:c>
      <x:c r="J10" s="18" t="str">
        <x:v>Backend Team</x:v>
      </x:c>
      <x:c r="K10" s="18" t="str">
        <x:v>Sprint 1</x:v>
      </x:c>
      <x:c r="L10" s="20"/>
      <x:c r="M10" s="20" t="n">
        <x:v>46230</x:v>
      </x:c>
      <x:c r="N10" s="21" t="n">
        <x:v>0</x:v>
      </x:c>
      <x:c r="O10" s="18" t="str">
        <x:v>Cao</x:v>
      </x:c>
      <x:c r="P10" s="18" t="str"/>
      <x:c r="Q10" s="18" t="str">
        <x:v>Auth integration tests bao phủ refresh race và token reuse.</x:v>
      </x:c>
      <x:c r="R10" s="18" t="str">
        <x:v>src/main/java/**/auth; application-enterprise-auth.yml</x:v>
      </x:c>
    </x:row>
    <x:row r="11" ht="44" customHeight="1">
      <x:c r="A11" t="str">
        <x:v>BE-006</x:v>
      </x:c>
      <x:c r="B11" t="str">
        <x:v>Giai đoạn 2</x:v>
      </x:c>
      <x:c r="C11" t="str">
        <x:v>ERG-SPRING</x:v>
      </x:c>
      <x:c r="D11" t="str">
        <x:v>Validation</x:v>
      </x:c>
      <x:c r="E11" s="18" t="str">
        <x:v>Chuẩn hóa validation và error envelope</x:v>
      </x:c>
      <x:c r="F11" s="18" t="str">
        <x:v>Đồng nhất error code, message, details, requestId và field violations cho REST/GraphQL.</x:v>
      </x:c>
      <x:c r="G11" s="18" t="str">
        <x:v>P0</x:v>
      </x:c>
      <x:c r="H11" s="18" t="str">
        <x:v>Chưa làm</x:v>
      </x:c>
      <x:c r="I11" s="19" t="n">
        <x:v>8</x:v>
      </x:c>
      <x:c r="J11" s="18" t="str">
        <x:v>Backend Team</x:v>
      </x:c>
      <x:c r="K11" s="18" t="str">
        <x:v>Sprint 2</x:v>
      </x:c>
      <x:c r="L11" s="20"/>
      <x:c r="M11" s="20" t="n">
        <x:v>46232</x:v>
      </x:c>
      <x:c r="N11" s="21" t="n">
        <x:v>0</x:v>
      </x:c>
      <x:c r="O11" s="18" t="str">
        <x:v>Cao</x:v>
      </x:c>
      <x:c r="P11" s="18" t="str">
        <x:v>BE-002, BE-003</x:v>
      </x:c>
      <x:c r="Q11" s="18" t="str">
        <x:v>FE nhận một error contract ổn định cho mọi portal.</x:v>
      </x:c>
      <x:c r="R11" s="18" t="str">
        <x:v>src/main/java/**/exception</x:v>
      </x:c>
    </x:row>
    <x:row r="12" ht="44" customHeight="1">
      <x:c r="A12" t="str">
        <x:v>BE-008</x:v>
      </x:c>
      <x:c r="B12" t="str">
        <x:v>Giai đoạn 2</x:v>
      </x:c>
      <x:c r="C12" t="str">
        <x:v>ERG-SPRING</x:v>
      </x:c>
      <x:c r="D12" t="str">
        <x:v>Database</x:v>
      </x:c>
      <x:c r="E12" s="18" t="str">
        <x:v>Audit index, pagination và N+1 query</x:v>
      </x:c>
      <x:c r="F12" s="18" t="str">
        <x:v>Đo slow query, bổ sung index có bằng chứng và giới hạn page size.</x:v>
      </x:c>
      <x:c r="G12" s="18" t="str">
        <x:v>P0</x:v>
      </x:c>
      <x:c r="H12" s="18" t="str">
        <x:v>Chưa làm</x:v>
      </x:c>
      <x:c r="I12" s="19" t="n">
        <x:v>13</x:v>
      </x:c>
      <x:c r="J12" s="18" t="str">
        <x:v>Backend Team</x:v>
      </x:c>
      <x:c r="K12" s="18" t="str">
        <x:v>Sprint 2</x:v>
      </x:c>
      <x:c r="L12" s="20"/>
      <x:c r="M12" s="20" t="n">
        <x:v>46235</x:v>
      </x:c>
      <x:c r="N12" s="21" t="n">
        <x:v>0</x:v>
      </x:c>
      <x:c r="O12" s="18" t="str">
        <x:v>Cao</x:v>
      </x:c>
      <x:c r="P12" s="18" t="str">
        <x:v>BE-003</x:v>
      </x:c>
      <x:c r="Q12" s="18" t="str">
        <x:v>Không còn N+1 tại workspace chính; explain plan được lưu trong báo cáo.</x:v>
      </x:c>
      <x:c r="R12" s="18" t="str">
        <x:v>src/main/java/**/repository; docs/*performance*</x:v>
      </x:c>
    </x:row>
    <x:row r="13" ht="44" customHeight="1">
      <x:c r="A13" t="str">
        <x:v>BE-009</x:v>
      </x:c>
      <x:c r="B13" t="str">
        <x:v>Giai đoạn 2</x:v>
      </x:c>
      <x:c r="C13" t="str">
        <x:v>ERG-SPRING</x:v>
      </x:c>
      <x:c r="D13" t="str">
        <x:v>Concurrency</x:v>
      </x:c>
      <x:c r="E13" s="18" t="str">
        <x:v>Chuẩn hóa idempotency và optimistic locking</x:v>
      </x:c>
      <x:c r="F13" s="18" t="str">
        <x:v>Bảo vệ create assignment, publish quiz, attendance, score và bulk import khỏi duplicate write.</x:v>
      </x:c>
      <x:c r="G13" s="18" t="str">
        <x:v>P0</x:v>
      </x:c>
      <x:c r="H13" s="18" t="str">
        <x:v>Chưa làm</x:v>
      </x:c>
      <x:c r="I13" s="19" t="n">
        <x:v>13</x:v>
      </x:c>
      <x:c r="J13" s="18" t="str">
        <x:v>Backend Team</x:v>
      </x:c>
      <x:c r="K13" s="18" t="str">
        <x:v>Sprint 2</x:v>
      </x:c>
      <x:c r="L13" s="20"/>
      <x:c r="M13" s="20" t="n">
        <x:v>46236</x:v>
      </x:c>
      <x:c r="N13" s="21" t="n">
        <x:v>0</x:v>
      </x:c>
      <x:c r="O13" s="18" t="str">
        <x:v>Cao</x:v>
      </x:c>
      <x:c r="P13" s="18" t="str">
        <x:v>BE-006</x:v>
      </x:c>
      <x:c r="Q13" s="18" t="str">
        <x:v>Retry request không tạo dữ liệu trùng; conflict trả error code rõ ràng.</x:v>
      </x:c>
      <x:c r="R13" s="18" t="str">
        <x:v>src/main/java/**/service</x:v>
      </x:c>
    </x:row>
    <x:row r="14" ht="44" customHeight="1">
      <x:c r="A14" t="str">
        <x:v>BE-011</x:v>
      </x:c>
      <x:c r="B14" t="str">
        <x:v>Giai đoạn 3</x:v>
      </x:c>
      <x:c r="C14" t="str">
        <x:v>ERG-SPRING</x:v>
      </x:c>
      <x:c r="D14" t="str">
        <x:v>Testing</x:v>
      </x:c>
      <x:c r="E14" s="18" t="str">
        <x:v>Bổ sung contract và integration test theo portal</x:v>
      </x:c>
      <x:c r="F14" s="18" t="str">
        <x:v>Tạo suite LMS, LCMS, CRM, ELEARNING cho auth, tenant, API contract và mutation critical.</x:v>
      </x:c>
      <x:c r="G14" s="18" t="str">
        <x:v>P0</x:v>
      </x:c>
      <x:c r="H14" s="18" t="str">
        <x:v>Chưa làm</x:v>
      </x:c>
      <x:c r="I14" s="19" t="n">
        <x:v>13</x:v>
      </x:c>
      <x:c r="J14" s="18" t="str">
        <x:v>QA</x:v>
      </x:c>
      <x:c r="K14" s="18" t="str">
        <x:v>Sprint 3</x:v>
      </x:c>
      <x:c r="L14" s="20"/>
      <x:c r="M14" s="20" t="n">
        <x:v>46240</x:v>
      </x:c>
      <x:c r="N14" s="21" t="n">
        <x:v>0</x:v>
      </x:c>
      <x:c r="O14" s="18" t="str">
        <x:v>Cao</x:v>
      </x:c>
      <x:c r="P14" s="18" t="str">
        <x:v>BE-004, BE-005, BE-006</x:v>
      </x:c>
      <x:c r="Q14" s="18" t="str">
        <x:v>CI chạy test portal độc lập và xuất báo cáo failure.</x:v>
      </x:c>
      <x:c r="R14" s="18" t="str">
        <x:v>src/test/java</x:v>
      </x:c>
    </x:row>
    <x:row r="15" ht="44" customHeight="1">
      <x:c r="A15" t="str">
        <x:v>BE-014</x:v>
      </x:c>
      <x:c r="B15" t="str">
        <x:v>Giai đoạn 4</x:v>
      </x:c>
      <x:c r="C15" t="str">
        <x:v>ERG-SPRING</x:v>
      </x:c>
      <x:c r="D15" t="str">
        <x:v>Security</x:v>
      </x:c>
      <x:c r="E15" s="18" t="str">
        <x:v>Security review REST, GraphQL và upload</x:v>
      </x:c>
      <x:c r="F15" s="18" t="str">
        <x:v>Rà authorization bypass, rate limit, query complexity, file validation và SSRF.</x:v>
      </x:c>
      <x:c r="G15" s="18" t="str">
        <x:v>P0</x:v>
      </x:c>
      <x:c r="H15" s="18" t="str">
        <x:v>Chưa làm</x:v>
      </x:c>
      <x:c r="I15" s="19" t="n">
        <x:v>13</x:v>
      </x:c>
      <x:c r="J15" s="18" t="str">
        <x:v>Security</x:v>
      </x:c>
      <x:c r="K15" s="18" t="str">
        <x:v>Sprint 4</x:v>
      </x:c>
      <x:c r="L15" s="20"/>
      <x:c r="M15" s="20" t="n">
        <x:v>46244</x:v>
      </x:c>
      <x:c r="N15" s="21" t="n">
        <x:v>0</x:v>
      </x:c>
      <x:c r="O15" s="18" t="str">
        <x:v>Cao</x:v>
      </x:c>
      <x:c r="P15" s="18" t="str">
        <x:v>BE-004, BE-005</x:v>
      </x:c>
      <x:c r="Q15" s="18" t="str">
        <x:v>Không còn finding P0/P1; finding còn lại có owner và deadline.</x:v>
      </x:c>
      <x:c r="R15" s="18" t="str">
        <x:v>src/main/java; docs/0806</x:v>
      </x:c>
    </x:row>
    <x:row r="16" ht="44" customHeight="1">
      <x:c r="A16" t="str">
        <x:v>BE-007</x:v>
      </x:c>
      <x:c r="B16" t="str">
        <x:v>Giai đoạn 2</x:v>
      </x:c>
      <x:c r="C16" t="str">
        <x:v>ERG-SPRING</x:v>
      </x:c>
      <x:c r="D16" t="str">
        <x:v>Caching</x:v>
      </x:c>
      <x:c r="E16" s="18" t="str">
        <x:v>Audit application cache và cache invalidation</x:v>
      </x:c>
      <x:c r="F16" s="18" t="str">
        <x:v>Rà cache key theo tenant/account, TTL, cache stampede và dữ liệu nhạy cảm.</x:v>
      </x:c>
      <x:c r="G16" s="18" t="str">
        <x:v>P1</x:v>
      </x:c>
      <x:c r="H16" s="18" t="str">
        <x:v>Chưa làm</x:v>
      </x:c>
      <x:c r="I16" s="19" t="n">
        <x:v>8</x:v>
      </x:c>
      <x:c r="J16" s="18" t="str">
        <x:v>Backend Team</x:v>
      </x:c>
      <x:c r="K16" s="18" t="str">
        <x:v>Sprint 2</x:v>
      </x:c>
      <x:c r="L16" s="20"/>
      <x:c r="M16" s="20" t="n">
        <x:v>46233</x:v>
      </x:c>
      <x:c r="N16" s="21" t="n">
        <x:v>0</x:v>
      </x:c>
      <x:c r="O16" s="18" t="str">
        <x:v>Trung bình</x:v>
      </x:c>
      <x:c r="P16" s="18" t="str">
        <x:v>BE-004</x:v>
      </x:c>
      <x:c r="Q16" s="18" t="str">
        <x:v>Không chia sẻ cache sai tenant; có metrics hit/miss và invalidation tests.</x:v>
      </x:c>
      <x:c r="R16" s="18" t="str">
        <x:v>src/main/java/**/cache</x:v>
      </x:c>
    </x:row>
    <x:row r="17" ht="44" customHeight="1">
      <x:c r="A17" t="str">
        <x:v>BE-010</x:v>
      </x:c>
      <x:c r="B17" t="str">
        <x:v>Giai đoạn 3</x:v>
      </x:c>
      <x:c r="C17" t="str">
        <x:v>ERG-SPRING</x:v>
      </x:c>
      <x:c r="D17" t="str">
        <x:v>Observability</x:v>
      </x:c>
      <x:c r="E17" s="18" t="str">
        <x:v>Chuẩn hóa logging, metrics và tracing</x:v>
      </x:c>
      <x:c r="F17" s="18" t="str">
        <x:v>Gắn requestId, operationName, tenant scope, duration và outcome; không log token/PII.</x:v>
      </x:c>
      <x:c r="G17" s="18" t="str">
        <x:v>P1</x:v>
      </x:c>
      <x:c r="H17" s="18" t="str">
        <x:v>Chưa làm</x:v>
      </x:c>
      <x:c r="I17" s="19" t="n">
        <x:v>8</x:v>
      </x:c>
      <x:c r="J17" s="18" t="str">
        <x:v>Backend Team</x:v>
      </x:c>
      <x:c r="K17" s="18" t="str">
        <x:v>Sprint 3</x:v>
      </x:c>
      <x:c r="L17" s="20"/>
      <x:c r="M17" s="20" t="n">
        <x:v>46238</x:v>
      </x:c>
      <x:c r="N17" s="21" t="n">
        <x:v>0</x:v>
      </x:c>
      <x:c r="O17" s="18" t="str">
        <x:v>Trung bình</x:v>
      </x:c>
      <x:c r="P17" s="18" t="str">
        <x:v>BE-006</x:v>
      </x:c>
      <x:c r="Q17" s="18" t="str">
        <x:v>Có dashboard latency/error theo endpoint và GraphQL operation.</x:v>
      </x:c>
      <x:c r="R17" s="18" t="str">
        <x:v>src/main/java/**/observability; ops</x:v>
      </x:c>
    </x:row>
    <x:row r="18" ht="44" customHeight="1">
      <x:c r="A18" t="str">
        <x:v>BE-012</x:v>
      </x:c>
      <x:c r="B18" t="str">
        <x:v>Giai đoạn 3</x:v>
      </x:c>
      <x:c r="C18" t="str">
        <x:v>ERG-SPRING</x:v>
      </x:c>
      <x:c r="D18" t="str">
        <x:v>Migration</x:v>
      </x:c>
      <x:c r="E18" s="18" t="str">
        <x:v>Audit Flyway migration và rollback strategy</x:v>
      </x:c>
      <x:c r="F18" s="18" t="str">
        <x:v>Kiểm tra thứ tự migration, dữ liệu seed, backward compatibility và phục hồi khi deploy lỗi.</x:v>
      </x:c>
      <x:c r="G18" s="18" t="str">
        <x:v>P1</x:v>
      </x:c>
      <x:c r="H18" s="18" t="str">
        <x:v>Chưa làm</x:v>
      </x:c>
      <x:c r="I18" s="19" t="n">
        <x:v>8</x:v>
      </x:c>
      <x:c r="J18" s="18" t="str">
        <x:v>Backend Team</x:v>
      </x:c>
      <x:c r="K18" s="18" t="str">
        <x:v>Sprint 3</x:v>
      </x:c>
      <x:c r="L18" s="20"/>
      <x:c r="M18" s="20" t="n">
        <x:v>46241</x:v>
      </x:c>
      <x:c r="N18" s="21" t="n">
        <x:v>0</x:v>
      </x:c>
      <x:c r="O18" s="18" t="str">
        <x:v>Trung bình</x:v>
      </x:c>
      <x:c r="P18" s="18" t="str"/>
      <x:c r="Q18" s="18" t="str">
        <x:v>Migration chạy sạch trên database mới và database nâng cấp.</x:v>
      </x:c>
      <x:c r="R18" s="18" t="str">
        <x:v>src/main/resources/db/migration</x:v>
      </x:c>
    </x:row>
    <x:row r="19" ht="44" customHeight="1">
      <x:c r="A19" t="str">
        <x:v>BE-013</x:v>
      </x:c>
      <x:c r="B19" t="str">
        <x:v>Giai đoạn 3</x:v>
      </x:c>
      <x:c r="C19" t="str">
        <x:v>ERG-SPRING</x:v>
      </x:c>
      <x:c r="D19" t="str">
        <x:v>Versioning</x:v>
      </x:c>
      <x:c r="E19" s="18" t="str">
        <x:v>Thiết lập API deprecation và compatibility policy</x:v>
      </x:c>
      <x:c r="F19" s="18" t="str">
        <x:v>Quy định version endpoint, thời gian deprecate và contract compatibility với FE.</x:v>
      </x:c>
      <x:c r="G19" s="18" t="str">
        <x:v>P1</x:v>
      </x:c>
      <x:c r="H19" s="18" t="str">
        <x:v>Chưa làm</x:v>
      </x:c>
      <x:c r="I19" s="19" t="n">
        <x:v>5</x:v>
      </x:c>
      <x:c r="J19" s="18" t="str">
        <x:v>Backend Team</x:v>
      </x:c>
      <x:c r="K19" s="18" t="str">
        <x:v>Sprint 3</x:v>
      </x:c>
      <x:c r="L19" s="20"/>
      <x:c r="M19" s="20" t="n">
        <x:v>46242</x:v>
      </x:c>
      <x:c r="N19" s="21" t="n">
        <x:v>0</x:v>
      </x:c>
      <x:c r="O19" s="18" t="str">
        <x:v>Trung bình</x:v>
      </x:c>
      <x:c r="P19" s="18" t="str">
        <x:v>BE-001, BE-002</x:v>
      </x:c>
      <x:c r="Q19" s="18" t="str">
        <x:v>Endpoint cũ có owner, deadline và migration guide.</x:v>
      </x:c>
      <x:c r="R19" s="18" t="str">
        <x:v>docs; contracts</x:v>
      </x:c>
    </x:row>
    <x:row r="20" ht="44" customHeight="1">
      <x:c r="A20" t="str">
        <x:v>BE-015</x:v>
      </x:c>
      <x:c r="B20" t="str">
        <x:v>Giai đoạn 4</x:v>
      </x:c>
      <x:c r="C20" t="str">
        <x:v>ERG-SPRING</x:v>
      </x:c>
      <x:c r="D20" t="str">
        <x:v>Performance</x:v>
      </x:c>
      <x:c r="E20" s="18" t="str">
        <x:v>Load test REST và GraphQL critical flows</x:v>
      </x:c>
      <x:c r="F20" s="18" t="str">
        <x:v>Đo p50/p95/p99, throughput, DB pool và cache dưới tải đại diện.</x:v>
      </x:c>
      <x:c r="G20" s="18" t="str">
        <x:v>P1</x:v>
      </x:c>
      <x:c r="H20" s="18" t="str">
        <x:v>Chưa làm</x:v>
      </x:c>
      <x:c r="I20" s="19" t="n">
        <x:v>13</x:v>
      </x:c>
      <x:c r="J20" s="18" t="str">
        <x:v>QA</x:v>
      </x:c>
      <x:c r="K20" s="18" t="str">
        <x:v>Sprint 4</x:v>
      </x:c>
      <x:c r="L20" s="20"/>
      <x:c r="M20" s="20" t="n">
        <x:v>46246</x:v>
      </x:c>
      <x:c r="N20" s="21" t="n">
        <x:v>0</x:v>
      </x:c>
      <x:c r="O20" s="18" t="str">
        <x:v>Cao</x:v>
      </x:c>
      <x:c r="P20" s="18" t="str">
        <x:v>BE-007, BE-008, BE-010</x:v>
      </x:c>
      <x:c r="Q20" s="18" t="str">
        <x:v>Critical APIs đạt SLO đã thống nhất và có baseline lưu phiên bản.</x:v>
      </x:c>
      <x:c r="R20" s="18" t="str">
        <x:v>load; src/test/resources/performance</x:v>
      </x:c>
    </x:row>
    <x:row r="21" ht="44" customHeight="1">
      <x:c r="A21" t="str">
        <x:v>BE-016</x:v>
      </x:c>
      <x:c r="B21" t="str">
        <x:v>Giai đoạn 4</x:v>
      </x:c>
      <x:c r="C21" t="str">
        <x:v>ERG-SPRING</x:v>
      </x:c>
      <x:c r="D21" t="str">
        <x:v>Async Jobs</x:v>
      </x:c>
      <x:c r="E21" s="18" t="str">
        <x:v>Audit notification và background jobs</x:v>
      </x:c>
      <x:c r="F21" s="18" t="str">
        <x:v>Kiểm tra retry, dead-letter, idempotency, scheduling overlap và shutdown safety.</x:v>
      </x:c>
      <x:c r="G21" s="18" t="str">
        <x:v>P1</x:v>
      </x:c>
      <x:c r="H21" s="18" t="str">
        <x:v>Chưa làm</x:v>
      </x:c>
      <x:c r="I21" s="19" t="n">
        <x:v>8</x:v>
      </x:c>
      <x:c r="J21" s="18" t="str">
        <x:v>Backend Team</x:v>
      </x:c>
      <x:c r="K21" s="18" t="str">
        <x:v>Sprint 4</x:v>
      </x:c>
      <x:c r="L21" s="20"/>
      <x:c r="M21" s="20" t="n">
        <x:v>46247</x:v>
      </x:c>
      <x:c r="N21" s="21" t="n">
        <x:v>0</x:v>
      </x:c>
      <x:c r="O21" s="18" t="str">
        <x:v>Trung bình</x:v>
      </x:c>
      <x:c r="P21" s="18" t="str">
        <x:v>BE-009, BE-010</x:v>
      </x:c>
      <x:c r="Q21" s="18" t="str">
        <x:v>Job retry không gửi trùng; lỗi được quan sát và có cơ chế replay.</x:v>
      </x:c>
      <x:c r="R21" s="18" t="str">
        <x:v>src/main/java/**/notification; **/job</x:v>
      </x:c>
    </x:row>
    <x:row r="22" ht="44" customHeight="1">
      <x:c r="A22" t="str">
        <x:v>BE-017</x:v>
      </x:c>
      <x:c r="B22" t="str">
        <x:v>Giai đoạn 4</x:v>
      </x:c>
      <x:c r="C22" t="str">
        <x:v>ERG-SPRING</x:v>
      </x:c>
      <x:c r="D22" t="str">
        <x:v>Storage</x:v>
      </x:c>
      <x:c r="E22" s="18" t="str">
        <x:v>Audit upload/download và signed URL</x:v>
      </x:c>
      <x:c r="F22" s="18" t="str">
        <x:v>Rà content type, size, virus scan, object key, expiry và access scope.</x:v>
      </x:c>
      <x:c r="G22" s="18" t="str">
        <x:v>P1</x:v>
      </x:c>
      <x:c r="H22" s="18" t="str">
        <x:v>Chưa làm</x:v>
      </x:c>
      <x:c r="I22" s="19" t="n">
        <x:v>8</x:v>
      </x:c>
      <x:c r="J22" s="18" t="str">
        <x:v>Backend Team</x:v>
      </x:c>
      <x:c r="K22" s="18" t="str">
        <x:v>Sprint 4</x:v>
      </x:c>
      <x:c r="L22" s="20"/>
      <x:c r="M22" s="20" t="n">
        <x:v>46248</x:v>
      </x:c>
      <x:c r="N22" s="21" t="n">
        <x:v>0</x:v>
      </x:c>
      <x:c r="O22" s="18" t="str">
        <x:v>Cao</x:v>
      </x:c>
      <x:c r="P22" s="18" t="str">
        <x:v>BE-014</x:v>
      </x:c>
      <x:c r="Q22" s="18" t="str">
        <x:v>File trái phép bị reject; URL hết hạn và không cross-tenant.</x:v>
      </x:c>
      <x:c r="R22" s="18" t="str">
        <x:v>src/main/java/**/storage</x:v>
      </x:c>
    </x:row>
    <x:row r="23" ht="44" customHeight="1">
      <x:c r="A23" t="str">
        <x:v>BE-018</x:v>
      </x:c>
      <x:c r="B23" t="str">
        <x:v>Giai đoạn 4</x:v>
      </x:c>
      <x:c r="C23" t="str">
        <x:v>ERG-SPRING</x:v>
      </x:c>
      <x:c r="D23" t="str">
        <x:v>CI/CD</x:v>
      </x:c>
      <x:c r="E23" s="18" t="str">
        <x:v>Thiết lập quality gate BE</x:v>
      </x:c>
      <x:c r="F23" s="18" t="str">
        <x:v>Chặn merge khi compile, test, contract, migration hoặc performance smoke fail.</x:v>
      </x:c>
      <x:c r="G23" s="18" t="str">
        <x:v>P1</x:v>
      </x:c>
      <x:c r="H23" s="18" t="str">
        <x:v>Chưa làm</x:v>
      </x:c>
      <x:c r="I23" s="19" t="n">
        <x:v>8</x:v>
      </x:c>
      <x:c r="J23" s="18" t="str">
        <x:v>Platform</x:v>
      </x:c>
      <x:c r="K23" s="18" t="str">
        <x:v>Sprint 4</x:v>
      </x:c>
      <x:c r="L23" s="20"/>
      <x:c r="M23" s="20" t="n">
        <x:v>46249</x:v>
      </x:c>
      <x:c r="N23" s="21" t="n">
        <x:v>0</x:v>
      </x:c>
      <x:c r="O23" s="18" t="str">
        <x:v>Trung bình</x:v>
      </x:c>
      <x:c r="P23" s="18" t="str">
        <x:v>BE-002, BE-011, BE-012</x:v>
      </x:c>
      <x:c r="Q23" s="18" t="str">
        <x:v>Pipeline có báo cáo rõ và không bỏ qua quality gate bắt buộc.</x:v>
      </x:c>
      <x:c r="R23" s="18" t="str">
        <x:v>.github/workflows; pom.xml</x:v>
      </x:c>
    </x:row>
  </x:sheetData>
  <x:mergeCells>
    <x:mergeCell ref="A1:R1"/>
    <x:mergeCell ref="A2:R2"/>
  </x:mergeCells>
  <x:conditionalFormatting sqref="H6:H205">
    <x:cfRule type="containsText" dxfId="7" priority="1" operator="containsText" text="Hoàn thành"/>
    <x:cfRule type="containsText" dxfId="8" priority="2" operator="containsText" text="Đang làm"/>
    <x:cfRule type="containsText" dxfId="9" priority="3" operator="containsText" text="Bị chặn"/>
    <x:cfRule type="containsText" dxfId="10" priority="4" operator="containsText" text="Chưa làm"/>
  </x:conditionalFormatting>
  <x:conditionalFormatting sqref="G6:G205">
    <x:cfRule type="containsText" dxfId="11" priority="5" operator="containsText" text="P0"/>
    <x:cfRule type="containsText" dxfId="12" priority="6" operator="containsText" text="P1"/>
    <x:cfRule type="containsText" dxfId="13" priority="7" operator="containsText" text="P2"/>
  </x:conditionalFormatting>
  <x:conditionalFormatting sqref="N6:N205">
    <x:cfRule type="dataBar" priority="8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{60314610-FEE3-CB30-F4D2-1E7A74A5F1CC}</x14:id>
        </x:ext>
      </x:extLst>
    </x:cfRule>
  </x:conditionalFormatting>
  <x:dataValidations count="5">
    <x:dataValidation type="list" sqref="G6:G205">
      <x:formula1>"P0,P1,P2"</x:formula1>
    </x:dataValidation>
    <x:dataValidation type="list" sqref="H6:H205">
      <x:formula1>"Chưa làm,Đang làm,Bị chặn,Hoàn thành"</x:formula1>
    </x:dataValidation>
    <x:dataValidation type="list" sqref="J6:J205">
      <x:formula1>"Backend Team,Platform,QA,Security"</x:formula1>
    </x:dataValidation>
    <x:dataValidation type="list" sqref="O6:O205">
      <x:formula1>"Cao,Trung bình,Thấp"</x:formula1>
    </x:dataValidation>
    <x:dataValidation type="decimal" operator="between" sqref="N6:N20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da9e0afbcf1455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60314610-FEE3-CB30-F4D2-1E7A74A5F1CC}">
            <x14:dataBar gradient="1">
              <x14:cfvo type="min"/>
              <x14:cfvo type="max"/>
              <x14:fillColor rgb="FF0F766E"/>
            </x14:dataBar>
          </x14:cfRule>
          <xm:sqref>N6:N205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20" hidden="0" customWidth="1"/>
  </x:cols>
  <x:sheetData>
    <x:row r="1" ht="30" customHeight="1">
      <x:c r="A1" s="2" t="str">
        <x:v>DANH MỤC QUẢN LÝ TASK</x:v>
      </x:c>
      <x:c r="B1" s="2"/>
      <x:c r="C1" s="2"/>
      <x:c r="D1" s="2"/>
      <x:c r="E1" s="2"/>
      <x:c r="F1" s="2"/>
      <x:c r="G1" s="2"/>
      <x:c r="H1" s="2"/>
      <x:c r="I1" s="2"/>
    </x:row>
    <x:row r="3">
      <x:c r="A3" s="5" t="str">
        <x:v>Trạng thái</x:v>
      </x:c>
      <x:c r="B3" s="6" t="str">
        <x:v>Ưu tiên</x:v>
      </x:c>
      <x:c r="C3" s="6" t="str">
        <x:v>Rủi ro</x:v>
      </x:c>
      <x:c r="D3" s="6" t="str">
        <x:v>Owner</x:v>
      </x:c>
      <x:c r="E3" s="6" t="str">
        <x:v>Giai đoạn</x:v>
      </x:c>
      <x:c r="F3" s="6" t="str">
        <x:v>Effort</x:v>
      </x:c>
      <x:c r="G3" s="6" t="str">
        <x:v>Quy ước</x:v>
      </x:c>
      <x:c r="H3" s="7" t="str">
        <x:v>Giá trị</x:v>
      </x:c>
      <x:c r="I3" s="4" t="str">
        <x:v>Portal</x:v>
      </x:c>
    </x:row>
    <x:row r="4">
      <x:c r="A4" s="8" t="str">
        <x:v>Chưa làm</x:v>
      </x:c>
      <x:c r="B4" s="9" t="str">
        <x:v>P0</x:v>
      </x:c>
      <x:c r="C4" s="9" t="str">
        <x:v>Cao</x:v>
      </x:c>
      <x:c r="D4" s="9" t="str">
        <x:v>Platform</x:v>
      </x:c>
      <x:c r="E4" s="9" t="str">
        <x:v>Nền tảng</x:v>
      </x:c>
      <x:c r="F4" s="9" t="n">
        <x:v>1</x:v>
      </x:c>
      <x:c r="G4" s="9" t="str">
        <x:v>P0</x:v>
      </x:c>
      <x:c r="H4" s="10" t="str">
        <x:v>Khẩn cấp / chặn kiến trúc hoặc correctness</x:v>
      </x:c>
      <x:c r="I4" t="str">
        <x:v>SHARED/PLATFORM</x:v>
      </x:c>
    </x:row>
    <x:row r="5">
      <x:c r="A5" s="8" t="str">
        <x:v>Đang làm</x:v>
      </x:c>
      <x:c r="B5" s="9" t="str">
        <x:v>P1</x:v>
      </x:c>
      <x:c r="C5" s="9" t="str">
        <x:v>Trung bình</x:v>
      </x:c>
      <x:c r="D5" s="9" t="str">
        <x:v>Frontend Team</x:v>
      </x:c>
      <x:c r="E5" s="9" t="str">
        <x:v>Giai đoạn 1</x:v>
      </x:c>
      <x:c r="F5" s="9" t="n">
        <x:v>2</x:v>
      </x:c>
      <x:c r="G5" s="9" t="str">
        <x:v>P1</x:v>
      </x:c>
      <x:c r="H5" s="10" t="str">
        <x:v>Quan trọng / nên làm trong roadmap gần</x:v>
      </x:c>
      <x:c r="I5" t="str">
        <x:v>LMS</x:v>
      </x:c>
    </x:row>
    <x:row r="6">
      <x:c r="A6" s="8" t="str">
        <x:v>Bị chặn</x:v>
      </x:c>
      <x:c r="B6" s="9" t="str">
        <x:v>P2</x:v>
      </x:c>
      <x:c r="C6" s="9" t="str">
        <x:v>Thấp</x:v>
      </x:c>
      <x:c r="D6" s="9" t="str">
        <x:v>QA</x:v>
      </x:c>
      <x:c r="E6" s="9" t="str">
        <x:v>Giai đoạn 2</x:v>
      </x:c>
      <x:c r="F6" s="9" t="n">
        <x:v>3</x:v>
      </x:c>
      <x:c r="G6" s="9" t="str">
        <x:v>P2</x:v>
      </x:c>
      <x:c r="H6" s="10" t="str">
        <x:v>Cải thiện / backlog có kiểm soát</x:v>
      </x:c>
      <x:c r="I6" t="str">
        <x:v>LCMS</x:v>
      </x:c>
    </x:row>
    <x:row r="7">
      <x:c r="A7" s="8" t="str">
        <x:v>Hoàn thành</x:v>
      </x:c>
      <x:c r="B7" s="9" t="str"/>
      <x:c r="C7" s="9" t="str"/>
      <x:c r="D7" s="9" t="str">
        <x:v>Product</x:v>
      </x:c>
      <x:c r="E7" s="9" t="str">
        <x:v>Giai đoạn 3</x:v>
      </x:c>
      <x:c r="F7" s="9" t="n">
        <x:v>5</x:v>
      </x:c>
      <x:c r="G7" s="9" t="str">
        <x:v>Tiến độ</x:v>
      </x:c>
      <x:c r="H7" s="10" t="str">
        <x:v>Nhập 0 đến 100%</x:v>
      </x:c>
      <x:c r="I7" t="str">
        <x:v>CRM</x:v>
      </x:c>
    </x:row>
    <x:row r="8">
      <x:c r="A8" s="8" t="str"/>
      <x:c r="B8" s="9" t="str"/>
      <x:c r="C8" s="9" t="str"/>
      <x:c r="D8" s="9" t="str"/>
      <x:c r="E8" s="9" t="str">
        <x:v>Giai đoạn 4</x:v>
      </x:c>
      <x:c r="F8" s="9" t="n">
        <x:v>8</x:v>
      </x:c>
      <x:c r="G8" s="9" t="str">
        <x:v>Effort</x:v>
      </x:c>
      <x:c r="H8" s="10" t="str">
        <x:v>Story point tương đối</x:v>
      </x:c>
      <x:c r="I8" t="str">
        <x:v>ELEARNING</x:v>
      </x:c>
    </x:row>
    <x:row r="9">
      <x:c r="A9" s="8" t="str"/>
      <x:c r="B9" s="9" t="str"/>
      <x:c r="C9" s="9" t="str"/>
      <x:c r="D9" s="9" t="str"/>
      <x:c r="E9" s="9" t="str">
        <x:v>Hiệu năng</x:v>
      </x:c>
      <x:c r="F9" s="9" t="n">
        <x:v>13</x:v>
      </x:c>
      <x:c r="G9" s="9" t="str">
        <x:v>Ngày</x:v>
      </x:c>
      <x:c r="H9" s="10" t="str">
        <x:v>Dùng date thật để lọc/sắp xếp</x:v>
      </x:c>
    </x:row>
    <x:row r="10">
      <x:c r="A10" s="11" t="str"/>
      <x:c r="B10" s="12" t="str"/>
      <x:c r="C10" s="12" t="str"/>
      <x:c r="D10" s="12" t="str"/>
      <x:c r="E10" s="12" t="str">
        <x:v>Chất lượng</x:v>
      </x:c>
      <x:c r="F10" s="12" t="str"/>
      <x:c r="G10" s="12" t="str"/>
      <x:c r="H10" s="13" t="str"/>
    </x:row>
  </x:sheetData>
  <x:mergeCells>
    <x:mergeCell ref="A1:I1"/>
  </x:mergeCells>
  <x:pageMargins left="0.7" right="0.7" top="0.75" bottom="0.75" header="0.3" footer="0.3"/>
</x:worksheet>
</file>