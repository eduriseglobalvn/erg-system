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6c626a548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237acfee83d94599"/>
    <x:sheet xmlns:r="http://schemas.openxmlformats.org/officeDocument/2006/relationships" name="Dashboard" sheetId="2" r:id="Rad39a64583074ce2"/>
    <x:sheet xmlns:r="http://schemas.openxmlformats.org/officeDocument/2006/relationships" name="Backend" sheetId="3" r:id="R6221db2fb5904d38"/>
    <x:sheet xmlns:r="http://schemas.openxmlformats.org/officeDocument/2006/relationships" name="Frontend" sheetId="4" r:id="Rbe6094a25ecd4a97"/>
    <x:sheet xmlns:r="http://schemas.openxmlformats.org/officeDocument/2006/relationships" name="Sprint" sheetId="5" r:id="Rffc0d16e8c00463d"/>
    <x:sheet xmlns:r="http://schemas.openxmlformats.org/officeDocument/2006/relationships" name="Báo cáo" sheetId="6" r:id="R57cc06e879ae414d"/>
    <x:sheet xmlns:r="http://schemas.openxmlformats.org/officeDocument/2006/relationships" name="RAID" sheetId="7" r:id="Rde46e418d6ec44f2"/>
    <x:sheet xmlns:r="http://schemas.openxmlformats.org/officeDocument/2006/relationships" name="Cấu hình" sheetId="8" r:id="R31d302cee7a4465f"/>
  </x:sheets>
</x:workbook>
</file>

<file path=xl/comments1.xml><?xml version="1.0" encoding="utf-8"?>
<x:comments xmlns:x="http://schemas.openxmlformats.org/spreadsheetml/2006/main">
  <x:authors>
    <x:author>tc={096CEF57-6D43-6301-76F2-BFD4764FEC4C}</x:author>
    <x:author>tc={9114FB44-85C2-00BF-D29D-30B1697963D7}</x:author>
    <x:author>tc={D5AB5CDC-DA08-4D04-189D-ABF8E787264B}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Chọn sprint này để đồng bộ Dashboard, Sprint và Báo cáo.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Capacity là tổng Story Point đội cam kết trong sprint; dùng để theo dõi mức tải.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Task mở có ngày Cập nhật cuối cũ hơn ngưỡng này sẽ bị báo stale.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.0"/>
    <x:numFmt numFmtId="203" formatCode="0"/>
    <x:numFmt numFmtId="204" formatCode="#,##0"/>
  </x:numFmts>
  <x:fonts count="3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475569"/>
      <x:name val="Carlito"/>
    </x:font>
    <x:font>
      <x:sz val="11"/>
      <x:color rgb="FF0F172A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b/>
      <x:sz val="20"/>
      <x:color rgb="FF0F172A"/>
      <x:name val="Carlito"/>
    </x:font>
    <x:font>
      <x:i/>
      <x:sz val="10"/>
      <x:color rgb="FF64748B"/>
      <x:name val="Carlito"/>
    </x:font>
    <x:font>
      <x:b/>
      <x:sz val="9"/>
      <x:color rgb="FF92400E"/>
      <x:name val="Carlito"/>
    </x:font>
    <x:font>
      <x:b/>
      <x:sz val="8"/>
      <x:color rgb="FF64748B"/>
      <x:name val="Carlito"/>
    </x:font>
    <x:font>
      <x:b/>
      <x:sz val="13"/>
      <x:color rgb="FF2563EB"/>
      <x:name val="Carlito"/>
    </x:font>
    <x:font>
      <x:b/>
      <x:sz val="13"/>
      <x:color rgb="FF16A34A"/>
      <x:name val="Carlito"/>
    </x:font>
    <x:font>
      <x:b/>
      <x:sz val="13"/>
      <x:color rgb="FFDC2626"/>
      <x:name val="Carlito"/>
    </x:font>
    <x:font>
      <x:b/>
      <x:sz val="13"/>
      <x:color rgb="FFD97706"/>
      <x:name val="Carlito"/>
    </x:font>
    <x:font>
      <x:b/>
      <x:sz val="13"/>
      <x:color rgb="FF7C3AED"/>
      <x:name val="Carlito"/>
    </x:font>
    <x:font>
      <x:sz val="9"/>
      <x:color rgb="FF475569"/>
      <x:name val="Carlito"/>
    </x:font>
    <x:font>
      <x:b/>
      <x:sz val="9"/>
      <x:color rgb="FF475569"/>
      <x:name val="Carlito"/>
    </x:font>
    <x:font>
      <x:b/>
      <x:sz val="11"/>
      <x:color rgb="FF2563EB"/>
      <x:name val="Carlito"/>
    </x:font>
    <x:font>
      <x:b/>
      <x:sz val="9"/>
      <x:color rgb="FF64748B"/>
      <x:name val="Carlito"/>
    </x:font>
    <x:font>
      <x:b/>
      <x:sz val="20"/>
      <x:color rgb="FF2563EB"/>
      <x:name val="Carlito"/>
    </x:font>
    <x:font>
      <x:b/>
      <x:sz val="20"/>
      <x:color rgb="FF16A34A"/>
      <x:name val="Carlito"/>
    </x:font>
    <x:font>
      <x:b/>
      <x:sz val="20"/>
      <x:color rgb="FF7C3AED"/>
      <x:name val="Carlito"/>
    </x:font>
    <x:font>
      <x:b/>
      <x:sz val="20"/>
      <x:color rgb="FFDC2626"/>
      <x:name val="Carlito"/>
    </x:font>
    <x:font>
      <x:sz val="8"/>
      <x:color rgb="FF64748B"/>
      <x:name val="Carlito"/>
    </x:font>
    <x:font>
      <x:b/>
      <x:sz val="9"/>
      <x:color rgb="FF0F172A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sz val="10"/>
      <x:color rgb="FF4755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475569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F5F5F4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</x:fills>
  <x:borders count="25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334155"/>
      </x:right>
    </x:border>
    <x:border>
      <x:left style="thin">
        <x:color rgb="FF334155"/>
      </x:left>
      <x:right style="thin">
        <x:color rgb="FF334155"/>
      </x:right>
    </x:border>
    <x:border>
      <x:left style="thin">
        <x:color rgb="FF334155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334155"/>
      </x:right>
      <x:bottom style="thin">
        <x:color rgb="FFCBD5E1"/>
      </x:bottom>
    </x:border>
    <x:border>
      <x:left style="thin">
        <x:color rgb="FF334155"/>
      </x:left>
      <x:right style="thin">
        <x:color rgb="FF334155"/>
      </x:right>
      <x:bottom style="thin">
        <x:color rgb="FFCBD5E1"/>
      </x:bottom>
    </x:border>
    <x:border>
      <x:left style="thin">
        <x:color rgb="FF334155"/>
      </x:lef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200" fontId="5" fillId="5" borderId="2" xfId="0" applyNumberFormat="1" applyFont="1" applyFill="1" applyBorder="1"/>
    <x:xf numFmtId="201" fontId="5" fillId="5" borderId="4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8" xfId="0" applyNumberFormat="1" applyFont="1" applyFill="1" applyBorder="1"/>
    <x:xf numFmtId="201" fontId="7" fillId="0" borderId="8" xfId="0" applyNumberFormat="1" applyFont="1" applyFill="1" applyBorder="1"/>
    <x:xf numFmtId="0" fontId="7" fillId="0" borderId="9" xfId="0" applyNumberFormat="1" applyFont="1" applyFill="1" applyBorder="1"/>
    <x:xf numFmtId="201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7" borderId="11" xfId="0" applyNumberFormat="1" applyFont="1" applyFill="1" applyBorder="1"/>
    <x:xf numFmtId="0" fontId="11" fillId="7" borderId="11" xfId="0" applyNumberFormat="1" applyFont="1" applyFill="1" applyBorder="1"/>
    <x:xf numFmtId="0" fontId="11" fillId="7" borderId="11" xfId="0" applyNumberFormat="1" applyFont="1" applyFill="1" applyBorder="1" applyAlignment="1">
      <x:alignment vertical="center"/>
    </x:xf>
    <x:xf numFmtId="0" fontId="12" fillId="6" borderId="12" xfId="0" applyNumberFormat="1" applyFont="1" applyFill="1" applyBorder="1"/>
    <x:xf numFmtId="0" fontId="12" fillId="6" borderId="12" xfId="0" applyNumberFormat="1" applyFont="1" applyFill="1" applyBorder="1" applyAlignment="1">
      <x:alignment horizontal="center"/>
    </x:xf>
    <x:xf numFmtId="0" fontId="12" fillId="6" borderId="12" xfId="0" applyNumberFormat="1" applyFont="1" applyFill="1" applyBorder="1" applyAlignment="1">
      <x:alignment horizontal="center" vertical="center"/>
    </x:xf>
    <x:xf numFmtId="0" fontId="13" fillId="6" borderId="12" xfId="0" applyNumberFormat="1" applyFont="1" applyFill="1" applyBorder="1"/>
    <x:xf numFmtId="0" fontId="13" fillId="6" borderId="12" xfId="0" applyNumberFormat="1" applyFont="1" applyFill="1" applyBorder="1" applyAlignment="1">
      <x:alignment horizontal="center"/>
    </x:xf>
    <x:xf numFmtId="0" fontId="13" fillId="6" borderId="12" xfId="0" applyNumberFormat="1" applyFont="1" applyFill="1" applyBorder="1" applyAlignment="1">
      <x:alignment horizontal="center" vertical="center"/>
    </x:xf>
    <x:xf numFmtId="0" fontId="14" fillId="6" borderId="12" xfId="0" applyNumberFormat="1" applyFont="1" applyFill="1" applyBorder="1"/>
    <x:xf numFmtId="0" fontId="14" fillId="6" borderId="12" xfId="0" applyNumberFormat="1" applyFont="1" applyFill="1" applyBorder="1" applyAlignment="1">
      <x:alignment horizontal="center"/>
    </x:xf>
    <x:xf numFmtId="0" fontId="14" fillId="6" borderId="12" xfId="0" applyNumberFormat="1" applyFont="1" applyFill="1" applyBorder="1" applyAlignment="1">
      <x:alignment horizontal="center" vertical="center"/>
    </x:xf>
    <x:xf numFmtId="0" fontId="15" fillId="6" borderId="12" xfId="0" applyNumberFormat="1" applyFont="1" applyFill="1" applyBorder="1"/>
    <x:xf numFmtId="0" fontId="15" fillId="6" borderId="12" xfId="0" applyNumberFormat="1" applyFont="1" applyFill="1" applyBorder="1" applyAlignment="1">
      <x:alignment horizontal="center"/>
    </x:xf>
    <x:xf numFmtId="0" fontId="15" fillId="6" borderId="12" xfId="0" applyNumberFormat="1" applyFont="1" applyFill="1" applyBorder="1" applyAlignment="1">
      <x:alignment horizontal="center" vertical="center"/>
    </x:xf>
    <x:xf numFmtId="0" fontId="16" fillId="6" borderId="12" xfId="0" applyNumberFormat="1" applyFont="1" applyFill="1" applyBorder="1"/>
    <x:xf numFmtId="0" fontId="16" fillId="6" borderId="12" xfId="0" applyNumberFormat="1" applyFont="1" applyFill="1" applyBorder="1" applyAlignment="1">
      <x:alignment horizontal="center"/>
    </x:xf>
    <x:xf numFmtId="0" fontId="16" fillId="6" borderId="12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/>
    <x:xf numFmtId="0" fontId="17" fillId="3" borderId="11" xfId="0" applyNumberFormat="1" applyFont="1" applyFill="1" applyBorder="1"/>
    <x:xf numFmtId="0" fontId="17" fillId="3" borderId="13" xfId="0" applyNumberFormat="1" applyFont="1" applyFill="1" applyBorder="1"/>
    <x:xf numFmtId="0" fontId="17" fillId="3" borderId="12" xfId="0" applyNumberFormat="1" applyFont="1" applyFill="1" applyBorder="1"/>
    <x:xf numFmtId="0" fontId="17" fillId="3" borderId="11" xfId="0" applyNumberFormat="1" applyFont="1" applyFill="1" applyBorder="1" applyAlignment="1">
      <x:alignment wrapText="1"/>
    </x:xf>
    <x:xf numFmtId="0" fontId="17" fillId="3" borderId="13" xfId="0" applyNumberFormat="1" applyFont="1" applyFill="1" applyBorder="1" applyAlignment="1">
      <x:alignment wrapText="1"/>
    </x:xf>
    <x:xf numFmtId="0" fontId="17" fillId="3" borderId="12" xfId="0" applyNumberFormat="1" applyFont="1" applyFill="1" applyBorder="1" applyAlignment="1">
      <x:alignment wrapText="1"/>
    </x:xf>
    <x:xf numFmtId="0" fontId="17" fillId="3" borderId="11" xfId="0" applyNumberFormat="1" applyFont="1" applyFill="1" applyBorder="1" applyAlignment="1">
      <x:alignment vertical="center" wrapText="1"/>
    </x:xf>
    <x:xf numFmtId="0" fontId="17" fillId="3" borderId="13" xfId="0" applyNumberFormat="1" applyFont="1" applyFill="1" applyBorder="1" applyAlignment="1">
      <x:alignment vertical="center" wrapText="1"/>
    </x:xf>
    <x:xf numFmtId="0" fontId="17" fillId="3" borderId="12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18" fillId="7" borderId="5" xfId="0" applyNumberFormat="1" applyFont="1" applyFill="1" applyBorder="1" applyAlignment="1">
      <x:alignment horizontal="center" vertical="center" wrapText="1"/>
    </x:xf>
    <x:xf numFmtId="0" fontId="18" fillId="7" borderId="6" xfId="0" applyNumberFormat="1" applyFont="1" applyFill="1" applyBorder="1" applyAlignment="1">
      <x:alignment horizontal="center" vertical="center" wrapText="1"/>
    </x:xf>
    <x:xf numFmtId="0" fontId="18" fillId="7" borderId="7" xfId="0" applyNumberFormat="1" applyFont="1" applyFill="1" applyBorder="1" applyAlignment="1">
      <x:alignment horizontal="center" vertical="center" wrapText="1"/>
    </x:xf>
    <x:xf numFmtId="0" fontId="18" fillId="7" borderId="14" xfId="0" applyNumberFormat="1" applyFont="1" applyFill="1" applyBorder="1" applyAlignment="1">
      <x:alignment horizontal="center" vertical="center" wrapText="1"/>
    </x:xf>
    <x:xf numFmtId="0" fontId="18" fillId="7" borderId="15" xfId="0" applyNumberFormat="1" applyFont="1" applyFill="1" applyBorder="1" applyAlignment="1">
      <x:alignment horizontal="center" vertical="center" wrapText="1"/>
    </x:xf>
    <x:xf numFmtId="0" fontId="18" fillId="7" borderId="16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/>
    </x:xf>
    <x:xf numFmtId="0" fontId="7" fillId="8" borderId="9" xfId="0" applyNumberFormat="1" applyFont="1" applyFill="1" applyBorder="1" applyAlignment="1">
      <x:alignment vertical="top"/>
    </x:xf>
    <x:xf numFmtId="0" fontId="7" fillId="8" borderId="10" xfId="0" applyNumberFormat="1" applyFont="1" applyFill="1" applyBorder="1" applyAlignment="1">
      <x:alignment vertical="top"/>
    </x:xf>
    <x:xf numFmtId="200" fontId="7" fillId="0" borderId="8" xfId="0" applyNumberFormat="1" applyFont="1" applyFill="1" applyBorder="1" applyAlignment="1">
      <x:alignment vertical="top"/>
    </x:xf>
    <x:xf numFmtId="200" fontId="7" fillId="0" borderId="9" xfId="0" applyNumberFormat="1" applyFont="1" applyFill="1" applyBorder="1" applyAlignment="1">
      <x:alignment vertical="top"/>
    </x:xf>
    <x:xf numFmtId="200" fontId="7" fillId="0" borderId="10" xfId="0" applyNumberFormat="1" applyFont="1" applyFill="1" applyBorder="1" applyAlignment="1">
      <x:alignment vertical="top"/>
    </x:xf>
    <x:xf numFmtId="200" fontId="7" fillId="8" borderId="8" xfId="0" applyNumberFormat="1" applyFont="1" applyFill="1" applyBorder="1" applyAlignment="1">
      <x:alignment vertical="top"/>
    </x:xf>
    <x:xf numFmtId="200" fontId="7" fillId="8" borderId="9" xfId="0" applyNumberFormat="1" applyFont="1" applyFill="1" applyBorder="1" applyAlignment="1">
      <x:alignment vertical="top"/>
    </x:xf>
    <x:xf numFmtId="200" fontId="7" fillId="8" borderId="10" xfId="0" applyNumberFormat="1" applyFont="1" applyFill="1" applyBorder="1" applyAlignment="1">
      <x:alignment vertical="top"/>
    </x:xf>
    <x:xf numFmtId="202" fontId="7" fillId="0" borderId="8" xfId="0" applyNumberFormat="1" applyFont="1" applyFill="1" applyBorder="1" applyAlignment="1">
      <x:alignment vertical="top"/>
    </x:xf>
    <x:xf numFmtId="202" fontId="7" fillId="0" borderId="9" xfId="0" applyNumberFormat="1" applyFont="1" applyFill="1" applyBorder="1" applyAlignment="1">
      <x:alignment vertical="top"/>
    </x:xf>
    <x:xf numFmtId="202" fontId="7" fillId="0" borderId="10" xfId="0" applyNumberFormat="1" applyFont="1" applyFill="1" applyBorder="1" applyAlignment="1">
      <x:alignment vertical="top"/>
    </x:xf>
    <x:xf numFmtId="201" fontId="7" fillId="8" borderId="8" xfId="0" applyNumberFormat="1" applyFont="1" applyFill="1" applyBorder="1" applyAlignment="1">
      <x:alignment vertical="top"/>
    </x:xf>
    <x:xf numFmtId="201" fontId="7" fillId="8" borderId="9" xfId="0" applyNumberFormat="1" applyFont="1" applyFill="1" applyBorder="1" applyAlignment="1">
      <x:alignment vertical="top"/>
    </x:xf>
    <x:xf numFmtId="201" fontId="7" fillId="8" borderId="10" xfId="0" applyNumberFormat="1" applyFont="1" applyFill="1" applyBorder="1" applyAlignment="1">
      <x:alignment vertical="top"/>
    </x:xf>
    <x:xf numFmtId="203" fontId="7" fillId="8" borderId="8" xfId="0" applyNumberFormat="1" applyFont="1" applyFill="1" applyBorder="1" applyAlignment="1">
      <x:alignment vertical="top"/>
    </x:xf>
    <x:xf numFmtId="203" fontId="7" fillId="8" borderId="9" xfId="0" applyNumberFormat="1" applyFont="1" applyFill="1" applyBorder="1" applyAlignment="1">
      <x:alignment vertical="top"/>
    </x:xf>
    <x:xf numFmtId="203" fontId="7" fillId="8" borderId="10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19" fillId="9" borderId="0" xfId="0" applyNumberFormat="1" applyFont="1" applyFill="1" applyBorder="1"/>
    <x:xf numFmtId="200" fontId="19" fillId="9" borderId="0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20" fillId="6" borderId="17" xfId="0" applyNumberFormat="1" applyFont="1" applyFill="1" applyBorder="1"/>
    <x:xf numFmtId="0" fontId="21" fillId="6" borderId="20" xfId="0" applyNumberFormat="1" applyFont="1" applyFill="1" applyBorder="1"/>
    <x:xf numFmtId="204" fontId="21" fillId="6" borderId="20" xfId="0" applyNumberFormat="1" applyFont="1" applyFill="1" applyBorder="1"/>
    <x:xf numFmtId="0" fontId="22" fillId="6" borderId="20" xfId="0" applyNumberFormat="1" applyFont="1" applyFill="1" applyBorder="1"/>
    <x:xf numFmtId="204" fontId="22" fillId="6" borderId="20" xfId="0" applyNumberFormat="1" applyFont="1" applyFill="1" applyBorder="1"/>
    <x:xf numFmtId="0" fontId="23" fillId="6" borderId="20" xfId="0" applyNumberFormat="1" applyFont="1" applyFill="1" applyBorder="1"/>
    <x:xf numFmtId="204" fontId="23" fillId="6" borderId="20" xfId="0" applyNumberFormat="1" applyFont="1" applyFill="1" applyBorder="1"/>
    <x:xf numFmtId="0" fontId="24" fillId="6" borderId="20" xfId="0" applyNumberFormat="1" applyFont="1" applyFill="1" applyBorder="1"/>
    <x:xf numFmtId="204" fontId="24" fillId="6" borderId="20" xfId="0" applyNumberFormat="1" applyFont="1" applyFill="1" applyBorder="1"/>
    <x:xf numFmtId="201" fontId="22" fillId="6" borderId="20" xfId="0" applyNumberFormat="1" applyFont="1" applyFill="1" applyBorder="1"/>
    <x:xf numFmtId="202" fontId="21" fillId="6" borderId="20" xfId="0" applyNumberFormat="1" applyFont="1" applyFill="1" applyBorder="1"/>
    <x:xf numFmtId="202" fontId="22" fillId="6" borderId="20" xfId="0" applyNumberFormat="1" applyFont="1" applyFill="1" applyBorder="1"/>
    <x:xf numFmtId="0" fontId="7" fillId="0" borderId="23" xfId="0" applyNumberFormat="1" applyFont="1" applyFill="1" applyBorder="1"/>
    <x:xf numFmtId="0" fontId="7" fillId="0" borderId="13" xfId="0" applyNumberFormat="1" applyFont="1" applyFill="1" applyBorder="1"/>
    <x:xf numFmtId="0" fontId="7" fillId="0" borderId="18" xfId="0" applyNumberFormat="1" applyFont="1" applyFill="1" applyBorder="1"/>
    <x:xf numFmtId="202" fontId="19" fillId="9" borderId="0" xfId="0" applyNumberFormat="1" applyFont="1" applyFill="1" applyBorder="1"/>
    <x:xf numFmtId="0" fontId="25" fillId="3" borderId="0" xfId="0" applyNumberFormat="1" applyFont="1" applyFill="1" applyBorder="1"/>
    <x:xf numFmtId="201" fontId="25" fillId="3" borderId="0" xfId="0" applyNumberFormat="1" applyFont="1" applyFill="1" applyBorder="1"/>
    <x:xf numFmtId="201" fontId="19" fillId="9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23" xfId="0" applyNumberFormat="1" applyFont="1" applyFill="1" applyBorder="1"/>
    <x:xf numFmtId="202" fontId="7" fillId="0" borderId="23" xfId="0" applyNumberFormat="1" applyFont="1" applyFill="1" applyBorder="1"/>
    <x:xf numFmtId="200" fontId="7" fillId="0" borderId="13" xfId="0" applyNumberFormat="1" applyFont="1" applyFill="1" applyBorder="1"/>
    <x:xf numFmtId="202" fontId="7" fillId="0" borderId="13" xfId="0" applyNumberFormat="1" applyFont="1" applyFill="1" applyBorder="1"/>
    <x:xf numFmtId="200" fontId="7" fillId="0" borderId="18" xfId="0" applyNumberFormat="1" applyFont="1" applyFill="1" applyBorder="1"/>
    <x:xf numFmtId="202" fontId="7" fillId="0" borderId="18" xfId="0" applyNumberFormat="1" applyFont="1" applyFill="1" applyBorder="1"/>
    <x:xf numFmtId="201" fontId="7" fillId="0" borderId="23" xfId="0" applyNumberFormat="1" applyFont="1" applyFill="1" applyBorder="1"/>
    <x:xf numFmtId="201" fontId="7" fillId="0" borderId="13" xfId="0" applyNumberFormat="1" applyFont="1" applyFill="1" applyBorder="1"/>
    <x:xf numFmtId="201" fontId="7" fillId="0" borderId="18" xfId="0" applyNumberFormat="1" applyFont="1" applyFill="1" applyBorder="1"/>
    <x:xf numFmtId="0" fontId="7" fillId="3" borderId="18" xfId="0" applyNumberFormat="1" applyFont="1" applyFill="1" applyBorder="1"/>
    <x:xf numFmtId="201" fontId="7" fillId="3" borderId="18" xfId="0" applyNumberFormat="1" applyFont="1" applyFill="1" applyBorder="1"/>
    <x:xf numFmtId="202" fontId="7" fillId="3" borderId="18" xfId="0" applyNumberFormat="1" applyFont="1" applyFill="1" applyBorder="1"/>
    <x:xf numFmtId="0" fontId="26" fillId="3" borderId="18" xfId="0" applyNumberFormat="1" applyFont="1" applyFill="1" applyBorder="1"/>
    <x:xf numFmtId="201" fontId="26" fillId="3" borderId="18" xfId="0" applyNumberFormat="1" applyFont="1" applyFill="1" applyBorder="1"/>
    <x:xf numFmtId="202" fontId="26" fillId="3" borderId="18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3" xfId="0" applyNumberFormat="1" applyFont="1" applyFill="1" applyBorder="1"/>
    <x:xf numFmtId="0" fontId="7" fillId="8" borderId="13" xfId="0" applyNumberFormat="1" applyFont="1" applyFill="1" applyBorder="1"/>
    <x:xf numFmtId="0" fontId="7" fillId="8" borderId="18" xfId="0" applyNumberFormat="1" applyFont="1" applyFill="1" applyBorder="1"/>
    <x:xf numFmtId="0" fontId="7" fillId="0" borderId="23" xfId="0" applyNumberFormat="1" applyFont="1" applyFill="1" applyBorder="1" applyAlignment="1">
      <x:alignment vertical="top"/>
    </x:xf>
    <x:xf numFmtId="0" fontId="7" fillId="8" borderId="23" xfId="0" applyNumberFormat="1" applyFont="1" applyFill="1" applyBorder="1" applyAlignment="1">
      <x:alignment vertical="top"/>
    </x:xf>
    <x:xf numFmtId="200" fontId="7" fillId="0" borderId="23" xfId="0" applyNumberFormat="1" applyFont="1" applyFill="1" applyBorder="1" applyAlignment="1">
      <x:alignment vertical="top"/>
    </x:xf>
    <x:xf numFmtId="0" fontId="7" fillId="0" borderId="13" xfId="0" applyNumberFormat="1" applyFont="1" applyFill="1" applyBorder="1" applyAlignment="1">
      <x:alignment vertical="top"/>
    </x:xf>
    <x:xf numFmtId="0" fontId="7" fillId="8" borderId="13" xfId="0" applyNumberFormat="1" applyFont="1" applyFill="1" applyBorder="1" applyAlignment="1">
      <x:alignment vertical="top"/>
    </x:xf>
    <x:xf numFmtId="200" fontId="7" fillId="0" borderId="13" xfId="0" applyNumberFormat="1" applyFont="1" applyFill="1" applyBorder="1" applyAlignment="1">
      <x:alignment vertical="top"/>
    </x:xf>
    <x:xf numFmtId="0" fontId="7" fillId="0" borderId="18" xfId="0" applyNumberFormat="1" applyFont="1" applyFill="1" applyBorder="1" applyAlignment="1">
      <x:alignment vertical="top"/>
    </x:xf>
    <x:xf numFmtId="0" fontId="7" fillId="8" borderId="18" xfId="0" applyNumberFormat="1" applyFont="1" applyFill="1" applyBorder="1" applyAlignment="1">
      <x:alignment vertical="top"/>
    </x:xf>
    <x:xf numFmtId="200" fontId="7" fillId="0" borderId="18" xfId="0" applyNumberFormat="1" applyFont="1" applyFill="1" applyBorder="1" applyAlignment="1">
      <x:alignment vertical="top"/>
    </x:xf>
    <x:xf numFmtId="0" fontId="7" fillId="0" borderId="23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horizontal="center"/>
    </x:xf>
    <x:xf numFmtId="0" fontId="27" fillId="10" borderId="0" xfId="0" applyNumberFormat="1" applyFont="1" applyFill="1" applyBorder="1" applyAlignment="1">
      <x:alignment horizontal="center" vertical="center"/>
    </x:xf>
    <x:xf numFmtId="0" fontId="28" fillId="3" borderId="0" xfId="0" applyNumberFormat="1" applyFont="1" applyFill="1" applyBorder="1"/>
    <x:xf numFmtId="0" fontId="29" fillId="0" borderId="0" xfId="0" applyNumberFormat="1" applyFont="1" applyFill="1" applyBorder="1"/>
    <x:xf numFmtId="0" fontId="29" fillId="0" borderId="23" xfId="0" applyNumberFormat="1" applyFont="1" applyFill="1" applyBorder="1"/>
    <x:xf numFmtId="0" fontId="29" fillId="0" borderId="13" xfId="0" applyNumberFormat="1" applyFont="1" applyFill="1" applyBorder="1"/>
    <x:xf numFmtId="0" fontId="29" fillId="0" borderId="18" xfId="0" applyNumberFormat="1" applyFont="1" applyFill="1" applyBorder="1"/>
    <x:xf numFmtId="0" fontId="29" fillId="0" borderId="23" xfId="0" applyNumberFormat="1" applyFont="1" applyFill="1" applyBorder="1" applyAlignment="1">
      <x:alignment wrapText="1"/>
    </x:xf>
    <x:xf numFmtId="0" fontId="29" fillId="0" borderId="13" xfId="0" applyNumberFormat="1" applyFont="1" applyFill="1" applyBorder="1" applyAlignment="1">
      <x:alignment wrapText="1"/>
    </x:xf>
    <x:xf numFmtId="0" fontId="29" fillId="0" borderId="18" xfId="0" applyNumberFormat="1" applyFont="1" applyFill="1" applyBorder="1" applyAlignment="1">
      <x:alignment wrapText="1"/>
    </x:xf>
    <x:xf numFmtId="0" fontId="29" fillId="0" borderId="23" xfId="0" applyNumberFormat="1" applyFont="1" applyFill="1" applyBorder="1" applyAlignment="1">
      <x:alignment vertical="center" wrapText="1"/>
    </x:xf>
    <x:xf numFmtId="0" fontId="29" fillId="0" borderId="13" xfId="0" applyNumberFormat="1" applyFont="1" applyFill="1" applyBorder="1" applyAlignment="1">
      <x:alignment vertical="center" wrapText="1"/>
    </x:xf>
    <x:xf numFmtId="0" fontId="29" fillId="0" borderId="18" xfId="0" applyNumberFormat="1" applyFont="1" applyFill="1" applyBorder="1" applyAlignment="1">
      <x:alignment vertical="center" wrapText="1"/>
    </x:xf>
    <x:xf numFmtId="0" fontId="7" fillId="0" borderId="23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7" fillId="3" borderId="23" xfId="0" applyNumberFormat="1" applyFont="1" applyFill="1" applyBorder="1"/>
    <x:xf numFmtId="0" fontId="17" fillId="3" borderId="18" xfId="0" applyNumberFormat="1" applyFont="1" applyFill="1" applyBorder="1"/>
    <x:xf numFmtId="0" fontId="17" fillId="3" borderId="23" xfId="0" applyNumberFormat="1" applyFont="1" applyFill="1" applyBorder="1" applyAlignment="1">
      <x:alignment wrapText="1"/>
    </x:xf>
    <x:xf numFmtId="0" fontId="17" fillId="3" borderId="18" xfId="0" applyNumberFormat="1" applyFont="1" applyFill="1" applyBorder="1" applyAlignment="1">
      <x:alignment wrapText="1"/>
    </x:xf>
    <x:xf numFmtId="0" fontId="17" fillId="3" borderId="23" xfId="0" applyNumberFormat="1" applyFont="1" applyFill="1" applyBorder="1" applyAlignment="1">
      <x:alignment vertical="center" wrapText="1"/>
    </x:xf>
    <x:xf numFmtId="0" fontId="17" fillId="3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3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0003ed6bb4c0e" /><Relationship Type="http://schemas.openxmlformats.org/officeDocument/2006/relationships/theme" Target="/xl/theme/theme1.xml" Id="R6a7c696475a9442b" /><Relationship Type="http://schemas.openxmlformats.org/officeDocument/2006/relationships/sharedStrings" Target="/xl/sharedStrings.xml" Id="Rede2826bd9c54ee0" /><Relationship Type="http://schemas.openxmlformats.org/officeDocument/2006/relationships/worksheet" Target="/xl/worksheets/sheet1.xml" Id="R237acfee83d94599" /><Relationship Type="http://schemas.openxmlformats.org/officeDocument/2006/relationships/worksheet" Target="/xl/worksheets/sheet2.xml" Id="Rad39a64583074ce2" /><Relationship Type="http://schemas.openxmlformats.org/officeDocument/2006/relationships/worksheet" Target="/xl/worksheets/sheet3.xml" Id="R6221db2fb5904d38" /><Relationship Type="http://schemas.openxmlformats.org/officeDocument/2006/relationships/worksheet" Target="/xl/worksheets/sheet4.xml" Id="Rbe6094a25ecd4a97" /><Relationship Type="http://schemas.openxmlformats.org/officeDocument/2006/relationships/worksheet" Target="/xl/worksheets/sheet5.xml" Id="Rffc0d16e8c00463d" /><Relationship Type="http://schemas.openxmlformats.org/officeDocument/2006/relationships/worksheet" Target="/xl/worksheets/sheet6.xml" Id="R57cc06e879ae414d" /><Relationship Type="http://schemas.openxmlformats.org/officeDocument/2006/relationships/worksheet" Target="/xl/worksheets/sheet7.xml" Id="Rde46e418d6ec44f2" /><Relationship Type="http://schemas.openxmlformats.org/officeDocument/2006/relationships/worksheet" Target="/xl/worksheets/sheet8.xml" Id="R31d302cee7a4465f" /><Relationship Type="http://schemas.microsoft.com/office/2017/10/relationships/person" Target="/xl/persons/person.xml" Id="R75387ab9443f4b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9f7107d61a462b" /><Relationship Type="http://schemas.openxmlformats.org/officeDocument/2006/relationships/chart" Target="/xl/drawings/charts/chart2.xml" Id="R2193c9de63664f8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5030866e6af4e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theo trạng thái</a:t>
            </a:r>
          </a:p>
        </c:rich>
      </c:tx>
    </c:title>
    <c:plotArea>
      <c:doughnutChart>
        <c:ser>
          <c:idx val="0"/>
          <c:order val="0"/>
          <c:tx>
            <c:v>PHÂN BỔ TRẠNG THÁI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Tổng task và Done theo đội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Tổng task</c:v>
          </c:tx>
          <c:cat>
            <c:strRef>
              <c:f>'Dashboard'!$A$27:$A$28</c:f>
              <c:strCache>
                <c:ptCount val="0"/>
              </c:strCache>
            </c:strRef>
          </c:cat>
          <c:val>
            <c:numRef>
              <c:f>'Dashboard'!$B$27:$B$28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'Dashboard'!$A$27:$A$28</c:f>
              <c:strCache>
                <c:ptCount val="0"/>
              </c:strCache>
            </c:strRef>
          </c:cat>
          <c:val>
            <c:numRef>
              <c:f>'Dashboard'!$C$27:$C$28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Burndown — Ideal vs Actual Remaining (SP)</a:t>
            </a:r>
          </a:p>
        </c:rich>
      </c:tx>
    </c:title>
    <c:plotArea>
      <c:lineChart>
        <c:grouping val="standard"/>
        <c:ser>
          <c:idx val="0"/>
          <c:order val="0"/>
          <c:tx>
            <c:v>Ideal Remaining</c:v>
          </c:tx>
          <c:marker>
            <c:symbol val="none"/>
          </c:marker>
          <c:cat>
            <c:strRef>
              <c:f>'Sprint'!$N$2:$N$15</c:f>
              <c:strCache>
                <c:ptCount val="0"/>
              </c:strCache>
            </c:strRef>
          </c:cat>
          <c:val>
            <c:numRef>
              <c:f>'Sprint'!$O$2:$O$15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Remaining</c:v>
          </c:tx>
          <c:marker>
            <c:symbol val="none"/>
          </c:marker>
          <c:cat>
            <c:strRef>
              <c:f>'Sprint'!$N$2:$N$15</c:f>
              <c:strCache>
                <c:ptCount val="0"/>
              </c:strCache>
            </c:strRef>
          </c:cat>
          <c:val>
            <c:numRef>
              <c:f>'Sprint'!$P$2:$P$15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9f7107d61a462b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3c9de63664f8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030866e6af4e3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357C3D43-2601-4DF0-9D84-FD5366C9D71C}"/>
</xltc:personList>
</file>

<file path=xl/tables/table1.xml><?xml version="1.0" encoding="utf-8"?>
<x:table xmlns:x="http://schemas.openxmlformats.org/spreadsheetml/2006/main" id="1" name="BackendTasks" displayName="BackendTasks" ref="A5:AC205" headerRowCount="1" totalsRowCount="0" totalsRowShown="0">
  <x:autoFilter ref="A5:AC205"/>
  <x:tableColumns count="29">
    <x:tableColumn id="1" name="Task ID"/>
    <x:tableColumn id="2" name="Tiêu đề"/>
    <x:tableColumn id="3" name="Trạng thái"/>
    <x:tableColumn id="4" name="Ưu tiên"/>
    <x:tableColumn id="5" name="Owner"/>
    <x:tableColumn id="6" name="Sprint"/>
    <x:tableColumn id="7" name="Loại"/>
    <x:tableColumn id="8" name="Epic"/>
    <x:tableColumn id="9" name="Hạn cam kết"/>
    <x:tableColumn id="10" name="Estimate (SP)"/>
    <x:tableColumn id="11" name="Tiến độ %"/>
    <x:tableColumn id="12" name="Blocked?"/>
    <x:tableColumn id="13" name="Nhãn"/>
    <x:tableColumn id="14" name="Mô tả / Acceptance Criteria"/>
    <x:tableColumn id="15" name="Cập nhật cuối"/>
    <x:tableColumn id="16" name="Ngày tạo"/>
    <x:tableColumn id="17" name="Bắt đầu"/>
    <x:tableColumn id="18" name="Hạn SLA"/>
    <x:tableColumn id="19" name="Hoàn thành"/>
    <x:tableColumn id="20" name="Actual (giờ)"/>
    <x:tableColumn id="21" name="Còn lại (ngày)"/>
    <x:tableColumn id="22" name="Quá hạn (ngày)"/>
    <x:tableColumn id="23" name="Lý do blocker"/>
    <x:tableColumn id="24" name="Phụ thuộc"/>
    <x:tableColumn id="25" name="Release"/>
    <x:tableColumn id="26" name="Môi trường"/>
    <x:tableColumn id="27" name="Rủi ro"/>
    <x:tableColumn id="28" name="Người yêu cầu"/>
    <x:tableColumn id="29" name="Tuổi task (ngày)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FrontendTasks" displayName="FrontendTasks" ref="A5:AC205" headerRowCount="1" totalsRowCount="0" totalsRowShown="0">
  <x:autoFilter ref="A5:AC205"/>
  <x:tableColumns count="29">
    <x:tableColumn id="1" name="Task ID"/>
    <x:tableColumn id="2" name="Tiêu đề"/>
    <x:tableColumn id="3" name="Trạng thái"/>
    <x:tableColumn id="4" name="Ưu tiên"/>
    <x:tableColumn id="5" name="Owner"/>
    <x:tableColumn id="6" name="Sprint"/>
    <x:tableColumn id="7" name="Loại"/>
    <x:tableColumn id="8" name="Epic"/>
    <x:tableColumn id="9" name="Hạn cam kết"/>
    <x:tableColumn id="10" name="Estimate (SP)"/>
    <x:tableColumn id="11" name="Tiến độ %"/>
    <x:tableColumn id="12" name="Blocked?"/>
    <x:tableColumn id="13" name="Nhãn"/>
    <x:tableColumn id="14" name="Mô tả / Acceptance Criteria"/>
    <x:tableColumn id="15" name="Cập nhật cuối"/>
    <x:tableColumn id="16" name="Ngày tạo"/>
    <x:tableColumn id="17" name="Bắt đầu"/>
    <x:tableColumn id="18" name="Hạn SLA"/>
    <x:tableColumn id="19" name="Hoàn thành"/>
    <x:tableColumn id="20" name="Actual (giờ)"/>
    <x:tableColumn id="21" name="Còn lại (ngày)"/>
    <x:tableColumn id="22" name="Quá hạn (ngày)"/>
    <x:tableColumn id="23" name="Lý do blocker"/>
    <x:tableColumn id="24" name="Phụ thuộc"/>
    <x:tableColumn id="25" name="Release"/>
    <x:tableColumn id="26" name="Môi trường"/>
    <x:tableColumn id="27" name="Rủi ro"/>
    <x:tableColumn id="28" name="Người yêu cầu"/>
    <x:tableColumn id="29" name="Tuổi task (ngày)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RAIDLog" displayName="RAIDLog" ref="A5:O105" headerRowCount="1" totalsRowCount="0" totalsRowShown="0">
  <x:tableColumns count="15">
    <x:tableColumn id="1" name="RAID ID"/>
    <x:tableColumn id="2" name="Loại"/>
    <x:tableColumn id="3" name="Tiêu đề"/>
    <x:tableColumn id="4" name="Mô tả"/>
    <x:tableColumn id="5" name="Xác suất (1-5)"/>
    <x:tableColumn id="6" name="Ảnh hưởng (1-5)"/>
    <x:tableColumn id="7" name="Điểm"/>
    <x:tableColumn id="8" name="Mức"/>
    <x:tableColumn id="9" name="Owner"/>
    <x:tableColumn id="10" name="Hạn xử lý"/>
    <x:tableColumn id="11" name="Trạng thái"/>
    <x:tableColumn id="12" name="Kế hoạch / Quyết định"/>
    <x:tableColumn id="13" name="Task liên kết"/>
    <x:tableColumn id="14" name="Ngày tạo"/>
    <x:tableColumn id="15" name="Quá hạn (ngà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20T12:48:47.717" personId="{357C3D43-2601-4DF0-9D84-FD5366C9D71C}" id="{096CEF57-6D43-6301-76F2-BFD4764FEC4C}">
    <xltc:text>Chọn sprint này để đồng bộ Dashboard, Sprint và Báo cáo.</xltc:text>
  </xltc:threadedComment>
  <xltc:threadedComment ref="B8" dT="2026-07-20T12:48:47.719" personId="{357C3D43-2601-4DF0-9D84-FD5366C9D71C}" id="{9114FB44-85C2-00BF-D29D-30B1697963D7}">
    <xltc:text>Capacity là tổng Story Point đội cam kết trong sprint; dùng để theo dõi mức tải.</xltc:text>
  </xltc:threadedComment>
  <xltc:threadedComment ref="B10" dT="2026-07-20T12:48:47.719" personId="{357C3D43-2601-4DF0-9D84-FD5366C9D71C}" id="{D5AB5CDC-DA08-4D04-189D-ABF8E787264B}">
    <xltc:text>Task mở có ngày Cập nhật cuối cũ hơn ngưỡng này sẽ bị báo stale.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e0de9458ec49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0a32052b74c46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97772ccdec74a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b18f29ebcdb4e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67a2105a0e943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f33c90bf6c9449e3" /><Relationship Type="http://schemas.openxmlformats.org/officeDocument/2006/relationships/vmlDrawing" Target="/xl/drawings/vmldrawing.vml" Id="R15f891786fa24c0d" /><Relationship Type="http://schemas.microsoft.com/office/2017/10/relationships/threadedComment" Target="/xl/threadedcomments/threadedcomment.xml" Id="Rbf086365063043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3" hidden="0" customWidth="1"/>
    <x:col min="5" max="5" width="18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2" customHeight="1">
      <x:c r="A1" s="3" t="str">
        <x:v>HỆ THỐNG QUẢN LÝ CÔNG VIỆC — HƯỚNG DẪN</x:v>
      </x:c>
      <x:c r="B1" s="3" t="str">
        <x:v>HỆ THỐNG QUẢN LÝ CÔNG VIỆC — HƯỚNG DẪN</x:v>
      </x:c>
      <x:c r="C1" s="3" t="str">
        <x:v>HỆ THỐNG QUẢN LÝ CÔNG VIỆC — HƯỚNG DẪN</x:v>
      </x:c>
      <x:c r="D1" s="3" t="str">
        <x:v>HỆ THỐNG QUẢN LÝ CÔNG VIỆC — HƯỚNG DẪN</x:v>
      </x:c>
      <x:c r="E1" s="3" t="str">
        <x:v>HỆ THỐNG QUẢN LÝ CÔNG VIỆC — HƯỚNG DẪN</x:v>
      </x:c>
      <x:c r="F1" s="3" t="str">
        <x:v>HỆ THỐNG QUẢN LÝ CÔNG VIỆC — HƯỚNG DẪN</x:v>
      </x:c>
      <x:c r="G1" s="3" t="str">
        <x:v>HỆ THỐNG QUẢN LÝ CÔNG VIỆC — HƯỚNG DẪN</x:v>
      </x:c>
      <x:c r="H1" s="3" t="str">
        <x:v>HỆ THỐNG QUẢN LÝ CÔNG VIỆC — HƯỚNG DẪN</x:v>
      </x:c>
      <x:c r="I1" s="3" t="str">
        <x:v>HỆ THỐNG QUẢN LÝ CÔNG VIỆC — HƯỚNG DẪN</x:v>
      </x:c>
      <x:c r="J1" s="3" t="str">
        <x:v>HỆ THỐNG QUẢN LÝ CÔNG VIỆC — HƯỚNG DẪN</x:v>
      </x:c>
    </x:row>
    <x:row r="2" ht="28" customHeight="1">
      <x:c r="A2" s="7" t="str">
        <x:v>Mục tiêu: một nguồn dữ liệu minh bạch thay cho Jira trong vận hành sprint của đội Backend và Frontend.</x:v>
      </x:c>
      <x:c r="B2" s="7" t="str">
        <x:v>Mục tiêu: một nguồn dữ liệu minh bạch thay cho Jira trong vận hành sprint của đội Backend và Frontend.</x:v>
      </x:c>
      <x:c r="C2" s="7" t="str">
        <x:v>Mục tiêu: một nguồn dữ liệu minh bạch thay cho Jira trong vận hành sprint của đội Backend và Frontend.</x:v>
      </x:c>
      <x:c r="D2" s="7" t="str">
        <x:v>Mục tiêu: một nguồn dữ liệu minh bạch thay cho Jira trong vận hành sprint của đội Backend và Frontend.</x:v>
      </x:c>
      <x:c r="E2" s="7" t="str">
        <x:v>Mục tiêu: một nguồn dữ liệu minh bạch thay cho Jira trong vận hành sprint của đội Backend và Frontend.</x:v>
      </x:c>
      <x:c r="F2" s="7" t="str">
        <x:v>Mục tiêu: một nguồn dữ liệu minh bạch thay cho Jira trong vận hành sprint của đội Backend và Frontend.</x:v>
      </x:c>
      <x:c r="G2" s="7" t="str">
        <x:v>Mục tiêu: một nguồn dữ liệu minh bạch thay cho Jira trong vận hành sprint của đội Backend và Frontend.</x:v>
      </x:c>
      <x:c r="H2" s="7" t="str">
        <x:v>Mục tiêu: một nguồn dữ liệu minh bạch thay cho Jira trong vận hành sprint của đội Backend và Frontend.</x:v>
      </x:c>
      <x:c r="I2" s="7" t="str">
        <x:v>Mục tiêu: một nguồn dữ liệu minh bạch thay cho Jira trong vận hành sprint của đội Backend và Frontend.</x:v>
      </x:c>
      <x:c r="J2" s="7" t="str">
        <x:v>Mục tiêu: một nguồn dữ liệu minh bạch thay cho Jira trong vận hành sprint của đội Backend và Frontend.</x:v>
      </x:c>
    </x:row>
    <x:row r="4" ht="22" customHeight="1">
      <x:c r="A4" s="10" t="str">
        <x:v>BẮT ĐẦU TRONG 5 PHÚT</x:v>
      </x:c>
      <x:c r="B4" s="10" t="str">
        <x:v>BẮT ĐẦU TRONG 5 PHÚT</x:v>
      </x:c>
      <x:c r="C4" s="10" t="str">
        <x:v>BẮT ĐẦU TRONG 5 PHÚT</x:v>
      </x:c>
      <x:c r="D4" s="10" t="str">
        <x:v>BẮT ĐẦU TRONG 5 PHÚT</x:v>
      </x:c>
      <x:c r="E4" s="10" t="str">
        <x:v>BẮT ĐẦU TRONG 5 PHÚT</x:v>
      </x:c>
      <x:c r="F4" s="10" t="str">
        <x:v>BẮT ĐẦU TRONG 5 PHÚT</x:v>
      </x:c>
      <x:c r="G4" s="10" t="str">
        <x:v>BẮT ĐẦU TRONG 5 PHÚT</x:v>
      </x:c>
      <x:c r="H4" s="10" t="str">
        <x:v>BẮT ĐẦU TRONG 5 PHÚT</x:v>
      </x:c>
      <x:c r="I4" s="10" t="str">
        <x:v>BẮT ĐẦU TRONG 5 PHÚT</x:v>
      </x:c>
      <x:c r="J4" s="10" t="str">
        <x:v>BẮT ĐẦU TRONG 5 PHÚT</x:v>
      </x:c>
    </x:row>
    <x:row r="5" ht="42" customHeight="1">
      <x:c r="A5" s="184" t="str">
        <x:v>1</x:v>
      </x:c>
      <x:c r="B5" s="185" t="str">
        <x:v>Cấu hình</x:v>
      </x:c>
      <x:c r="C5" s="193" t="str">
        <x:v>Điền sprint, ngày bắt đầu/kết thúc, capacity, thành viên, release và môi trường.</x:v>
      </x:c>
      <x:c r="D5" s="193"/>
      <x:c r="E5" s="193"/>
      <x:c r="F5" s="193"/>
      <x:c r="G5" s="193"/>
      <x:c r="H5" s="193"/>
      <x:c r="I5" s="193"/>
      <x:c r="J5" s="193"/>
    </x:row>
    <x:row r="6" ht="42" customHeight="1">
      <x:c r="A6" s="184" t="str">
        <x:v>2</x:v>
      </x:c>
      <x:c r="B6" s="185" t="str">
        <x:v>Backend / Frontend</x:v>
      </x:c>
      <x:c r="C6" s="194" t="str">
        <x:v>Xóa hoặc thay các dòng DEMO. Mỗi task phải có ID duy nhất, Owner, Priority, Sprint, Estimate và Hạn cam kết.</x:v>
      </x:c>
      <x:c r="D6" s="194"/>
      <x:c r="E6" s="194"/>
      <x:c r="F6" s="194"/>
      <x:c r="G6" s="194"/>
      <x:c r="H6" s="194"/>
      <x:c r="I6" s="194"/>
      <x:c r="J6" s="194"/>
    </x:row>
    <x:row r="7" ht="42" customHeight="1">
      <x:c r="A7" s="184" t="str">
        <x:v>3</x:v>
      </x:c>
      <x:c r="B7" s="185" t="str">
        <x:v>Daily</x:v>
      </x:c>
      <x:c r="C7" s="194" t="str">
        <x:v>Cập nhật Trạng thái, Actual giờ, Blocked, Lý do blocker và Cập nhật cuối. Không sửa các cột công thức nền xám.</x:v>
      </x:c>
      <x:c r="D7" s="194"/>
      <x:c r="E7" s="194"/>
      <x:c r="F7" s="194"/>
      <x:c r="G7" s="194"/>
      <x:c r="H7" s="194"/>
      <x:c r="I7" s="194"/>
      <x:c r="J7" s="194"/>
    </x:row>
    <x:row r="8" ht="42" customHeight="1">
      <x:c r="A8" s="184" t="str">
        <x:v>4</x:v>
      </x:c>
      <x:c r="B8" s="185" t="str">
        <x:v>Dashboard / Sprint</x:v>
      </x:c>
      <x:c r="C8" s="194" t="str">
        <x:v>Theo dõi tiến độ, blocked, overdue, scope, burndown. Dùng cùng một Sprint đang báo cáo trong Cấu hình.</x:v>
      </x:c>
      <x:c r="D8" s="194"/>
      <x:c r="E8" s="194"/>
      <x:c r="F8" s="194"/>
      <x:c r="G8" s="194"/>
      <x:c r="H8" s="194"/>
      <x:c r="I8" s="194"/>
      <x:c r="J8" s="194"/>
    </x:row>
    <x:row r="9" ht="42" customHeight="1">
      <x:c r="A9" s="184" t="str">
        <x:v>5</x:v>
      </x:c>
      <x:c r="B9" s="185" t="str">
        <x:v>Báo cáo / RAID</x:v>
      </x:c>
      <x:c r="C9" s="195" t="str">
        <x:v>Review chất lượng dữ liệu, tải theo người, rủi ro, quyết định và hành động trước Sprint Review.</x:v>
      </x:c>
      <x:c r="D9" s="195"/>
      <x:c r="E9" s="195"/>
      <x:c r="F9" s="195"/>
      <x:c r="G9" s="195"/>
      <x:c r="H9" s="195"/>
      <x:c r="I9" s="195"/>
      <x:c r="J9" s="195"/>
    </x:row>
    <x:row r="11" ht="22" customHeight="1">
      <x:c r="A11" s="10" t="str">
        <x:v>ĐỊNH NGHĨA WORKFLOW</x:v>
      </x:c>
      <x:c r="B11" s="10" t="str">
        <x:v>ĐỊNH NGHĨA WORKFLOW</x:v>
      </x:c>
      <x:c r="C11" s="10" t="str">
        <x:v>ĐỊNH NGHĨA WORKFLOW</x:v>
      </x:c>
      <x:c r="D11" s="10" t="str">
        <x:v>ĐỊNH NGHĨA WORKFLOW</x:v>
      </x:c>
      <x:c r="E11" s="10" t="str">
        <x:v>NHỊP QUẢN TRỊ KHUYẾN NGHỊ</x:v>
      </x:c>
      <x:c r="F11" s="10" t="str">
        <x:v>NHỊP QUẢN TRỊ KHUYẾN NGHỊ</x:v>
      </x:c>
      <x:c r="G11" s="10" t="str">
        <x:v>NHỊP QUẢN TRỊ KHUYẾN NGHỊ</x:v>
      </x:c>
      <x:c r="H11" s="10" t="str">
        <x:v>NHỊP QUẢN TRỊ KHUYẾN NGHỊ</x:v>
      </x:c>
      <x:c r="I11" s="10" t="str">
        <x:v>NHỊP QUẢN TRỊ KHUYẾN NGHỊ</x:v>
      </x:c>
      <x:c r="J11" s="10" t="str">
        <x:v>NHỊP QUẢN TRỊ KHUYẾN NGHỊ</x:v>
      </x:c>
    </x:row>
    <x:row r="12" ht="34" customHeight="1">
      <x:c r="A12" s="30" t="str">
        <x:v>Trạng thái</x:v>
      </x:c>
      <x:c r="B12" s="31" t="str">
        <x:v>Khi nào dùng</x:v>
      </x:c>
      <x:c r="C12" s="32" t="str">
        <x:v>Điều kiện chuyển tiếp</x:v>
      </x:c>
      <x:c r="E12" s="200" t="str">
        <x:v>Thời điểm</x:v>
      </x:c>
      <x:c r="F12" s="200" t="str">
        <x:v>Người chịu trách nhiệm</x:v>
      </x:c>
      <x:c r="G12" s="200" t="str">
        <x:v>Việc phải làm</x:v>
      </x:c>
      <x:c r="H12" s="200" t="str">
        <x:v>Việc phải làm</x:v>
      </x:c>
      <x:c r="I12" s="200" t="str">
        <x:v>Việc phải làm</x:v>
      </x:c>
      <x:c r="J12" s="200" t="str">
        <x:v>Việc phải làm</x:v>
      </x:c>
    </x:row>
    <x:row r="13" ht="44" customHeight="1">
      <x:c r="A13" s="178" t="str">
        <x:v>Backlog</x:v>
      </x:c>
      <x:c r="B13" s="178" t="str">
        <x:v>Ý tưởng/chưa cam kết sprint</x:v>
      </x:c>
      <x:c r="C13" s="178" t="str">
        <x:v>Có mô tả giá trị và người yêu cầu</x:v>
      </x:c>
      <x:c r="E13" s="178" t="str">
        <x:v>Sprint Planning</x:v>
      </x:c>
      <x:c r="F13" s="178" t="str">
        <x:v>PO + Tech Lead</x:v>
      </x:c>
      <x:c r="G13" s="178" t="str">
        <x:v>Chốt mục tiêu sprint, scope, owner, estimate, dependency và capacity.</x:v>
      </x:c>
      <x:c r="H13" s="178"/>
      <x:c r="I13" s="178"/>
      <x:c r="J13" s="178"/>
    </x:row>
    <x:row r="14" ht="44" customHeight="1">
      <x:c r="A14" s="179" t="str">
        <x:v>Ready</x:v>
      </x:c>
      <x:c r="B14" s="179" t="str">
        <x:v>Đã đủ thông tin để bắt đầu</x:v>
      </x:c>
      <x:c r="C14" s="179" t="str">
        <x:v>Có AC, estimate, owner, dependency</x:v>
      </x:c>
      <x:c r="E14" s="179" t="str">
        <x:v>Daily</x:v>
      </x:c>
      <x:c r="F14" s="179" t="str">
        <x:v>Mọi Owner</x:v>
      </x:c>
      <x:c r="G14" s="179" t="str">
        <x:v>Cập nhật status, blocker, actual và last updated trước daily.</x:v>
      </x:c>
      <x:c r="H14" s="179"/>
      <x:c r="I14" s="179"/>
      <x:c r="J14" s="179"/>
    </x:row>
    <x:row r="15" ht="44" customHeight="1">
      <x:c r="A15" s="179" t="str">
        <x:v>In Progress</x:v>
      </x:c>
      <x:c r="B15" s="179" t="str">
        <x:v>Đang thực hiện</x:v>
      </x:c>
      <x:c r="C15" s="179" t="str">
        <x:v>Owner đã bắt đầu; cập nhật cuối không quá ngưỡng stale</x:v>
      </x:c>
      <x:c r="E15" s="179" t="str">
        <x:v>2 lần/tuần</x:v>
      </x:c>
      <x:c r="F15" s="179" t="str">
        <x:v>PO + Lead</x:v>
      </x:c>
      <x:c r="G15" s="179" t="str">
        <x:v>Xử lý overdue, stale, P0/P1 và RAID điểm cao.</x:v>
      </x:c>
      <x:c r="H15" s="179"/>
      <x:c r="I15" s="179"/>
      <x:c r="J15" s="179"/>
    </x:row>
    <x:row r="16" ht="44" customHeight="1">
      <x:c r="A16" s="179" t="str">
        <x:v>Code Review</x:v>
      </x:c>
      <x:c r="B16" s="179" t="str">
        <x:v>Đã mở PR</x:v>
      </x:c>
      <x:c r="C16" s="179" t="str">
        <x:v>PR link/nội dung review rõ ràng; CI pass</x:v>
      </x:c>
      <x:c r="E16" s="179" t="str">
        <x:v>Sprint Review</x:v>
      </x:c>
      <x:c r="F16" s="179" t="str">
        <x:v>PO</x:v>
      </x:c>
      <x:c r="G16" s="179" t="str">
        <x:v>Đối chiếu Done SP, tỷ lệ hoàn thành, chất lượng và release.</x:v>
      </x:c>
      <x:c r="H16" s="179"/>
      <x:c r="I16" s="179"/>
      <x:c r="J16" s="179"/>
    </x:row>
    <x:row r="17" ht="44" customHeight="1">
      <x:c r="A17" s="179" t="str">
        <x:v>QA</x:v>
      </x:c>
      <x:c r="B17" s="179" t="str">
        <x:v>Đang kiểm thử</x:v>
      </x:c>
      <x:c r="C17" s="179" t="str">
        <x:v>Có môi trường và dữ liệu test</x:v>
      </x:c>
      <x:c r="E17" s="180" t="str">
        <x:v>Retrospective</x:v>
      </x:c>
      <x:c r="F17" s="180" t="str">
        <x:v>Cả đội</x:v>
      </x:c>
      <x:c r="G17" s="180" t="str">
        <x:v>Ghi quyết định cải tiến thành task/RAID có owner và due date.</x:v>
      </x:c>
      <x:c r="H17" s="180"/>
      <x:c r="I17" s="180"/>
      <x:c r="J17" s="180"/>
    </x:row>
    <x:row r="18" ht="44" customHeight="1">
      <x:c r="A18" s="179" t="str">
        <x:v>Blocked</x:v>
      </x:c>
      <x:c r="B18" s="179" t="str">
        <x:v>Không thể tiến tiếp</x:v>
      </x:c>
      <x:c r="C18" s="179" t="str">
        <x:v>Bắt buộc có lý do, dependency và hành động gỡ</x:v>
      </x:c>
    </x:row>
    <x:row r="19" ht="44" customHeight="1">
      <x:c r="A19" s="180" t="str">
        <x:v>Done</x:v>
      </x:c>
      <x:c r="B19" s="180" t="str">
        <x:v>Đạt Definition of Done</x:v>
      </x:c>
      <x:c r="C19" s="180" t="str">
        <x:v>AC đạt; test pass; deploy/tài liệu hoàn tất theo phạm vi</x:v>
      </x:c>
    </x:row>
    <x:row r="22" ht="22" customHeight="1">
      <x:c r="A22" s="10" t="str">
        <x:v>QUY TẮC VÀ GIỚI HẠN QUAN TRỌNG</x:v>
      </x:c>
      <x:c r="B22" s="10" t="str">
        <x:v>QUY TẮC VÀ GIỚI HẠN QUAN TRỌNG</x:v>
      </x:c>
      <x:c r="C22" s="10" t="str">
        <x:v>QUY TẮC VÀ GIỚI HẠN QUAN TRỌNG</x:v>
      </x:c>
      <x:c r="D22" s="10" t="str">
        <x:v>QUY TẮC VÀ GIỚI HẠN QUAN TRỌNG</x:v>
      </x:c>
      <x:c r="E22" s="10" t="str">
        <x:v>QUY TẮC VÀ GIỚI HẠN QUAN TRỌNG</x:v>
      </x:c>
      <x:c r="F22" s="10" t="str">
        <x:v>QUY TẮC VÀ GIỚI HẠN QUAN TRỌNG</x:v>
      </x:c>
      <x:c r="G22" s="10" t="str">
        <x:v>QUY TẮC VÀ GIỚI HẠN QUAN TRỌNG</x:v>
      </x:c>
      <x:c r="H22" s="10" t="str">
        <x:v>QUY TẮC VÀ GIỚI HẠN QUAN TRỌNG</x:v>
      </x:c>
      <x:c r="I22" s="10" t="str">
        <x:v>QUY TẮC VÀ GIỚI HẠN QUAN TRỌNG</x:v>
      </x:c>
      <x:c r="J22" s="10" t="str">
        <x:v>QUY TẮC VÀ GIỚI HẠN QUAN TRỌNG</x:v>
      </x:c>
    </x:row>
    <x:row r="23" ht="28" customHeight="1">
      <x:c r="A23" s="205" t="str">
        <x:v>• ID không được trùng giữa hai đội. Giữ ID ổn định dù task đổi sprint hoặc owner.</x:v>
      </x:c>
      <x:c r="B23" s="205"/>
      <x:c r="C23" s="205"/>
      <x:c r="D23" s="205"/>
      <x:c r="E23" s="205"/>
      <x:c r="F23" s="205"/>
      <x:c r="G23" s="205"/>
      <x:c r="H23" s="205"/>
      <x:c r="I23" s="205"/>
      <x:c r="J23" s="205"/>
    </x:row>
    <x:row r="24" ht="28" customHeight="1">
      <x:c r="A24" s="80" t="str">
        <x:v>• Không nhập trực tiếp KPI/báo cáo. Mọi con số được tính từ Backend, Frontend, RAID và Cấu hình.</x:v>
      </x:c>
      <x:c r="B24" s="80"/>
      <x:c r="C24" s="80"/>
      <x:c r="D24" s="80"/>
      <x:c r="E24" s="80"/>
      <x:c r="F24" s="80"/>
      <x:c r="G24" s="80"/>
      <x:c r="H24" s="80"/>
      <x:c r="I24" s="80"/>
      <x:c r="J24" s="80"/>
    </x:row>
    <x:row r="25" ht="28" customHeight="1">
      <x:c r="A25" s="80" t="str">
        <x:v>• Google Sheets Version history là audit log. Workbook không tự lưu lịch sử từng lần đổi ô như Jira.</x:v>
      </x:c>
      <x:c r="B25" s="80"/>
      <x:c r="C25" s="80"/>
      <x:c r="D25" s="80"/>
      <x:c r="E25" s="80"/>
      <x:c r="F25" s="80"/>
      <x:c r="G25" s="80"/>
      <x:c r="H25" s="80"/>
      <x:c r="I25" s="80"/>
      <x:c r="J25" s="80"/>
    </x:row>
    <x:row r="26" ht="28" customHeight="1">
      <x:c r="A26" s="80" t="str">
        <x:v>• Với tệp đính kèm/PR/spec, đặt URL vào Mô tả, Nhãn hoặc Kế hoạch; không nhúng file lớn vào workbook.</x:v>
      </x:c>
      <x:c r="B26" s="80"/>
      <x:c r="C26" s="80"/>
      <x:c r="D26" s="80"/>
      <x:c r="E26" s="80"/>
      <x:c r="F26" s="80"/>
      <x:c r="G26" s="80"/>
      <x:c r="H26" s="80"/>
      <x:c r="I26" s="80"/>
      <x:c r="J26" s="80"/>
    </x:row>
    <x:row r="27" ht="28" customHeight="1">
      <x:c r="A27" s="206" t="str">
        <x:v>• Khi vượt 200 task/đội, hãy mở rộng bảng, công thức, validation và toàn bộ phạm vi báo cáo tương ứng.</x:v>
      </x:c>
      <x:c r="B27" s="206"/>
      <x:c r="C27" s="206"/>
      <x:c r="D27" s="206"/>
      <x:c r="E27" s="206"/>
      <x:c r="F27" s="206"/>
      <x:c r="G27" s="206"/>
      <x:c r="H27" s="206"/>
      <x:c r="I27" s="206"/>
      <x:c r="J27" s="206"/>
    </x:row>
  </x:sheetData>
  <x:mergeCells>
    <x:mergeCell ref="A1:J1"/>
    <x:mergeCell ref="A2:J2"/>
    <x:mergeCell ref="A4:J4"/>
    <x:mergeCell ref="C5:J5"/>
    <x:mergeCell ref="C6:J6"/>
    <x:mergeCell ref="C7:J7"/>
    <x:mergeCell ref="C8:J8"/>
    <x:mergeCell ref="C9:J9"/>
    <x:mergeCell ref="A11:J11"/>
    <x:mergeCell ref="E11:J11"/>
    <x:mergeCell ref="G12:J12"/>
    <x:mergeCell ref="G13:J13"/>
    <x:mergeCell ref="G14:J14"/>
    <x:mergeCell ref="G15:J15"/>
    <x:mergeCell ref="G16:J16"/>
    <x:mergeCell ref="G17:J17"/>
    <x:mergeCell ref="A22:J22"/>
    <x:mergeCell ref="A23:J23"/>
    <x:mergeCell ref="A24:J24"/>
    <x:mergeCell ref="A25:J25"/>
    <x:mergeCell ref="A26:J26"/>
    <x:mergeCell ref="A27:J27"/>
  </x:mergeCells>
  <x:conditionalFormatting sqref="A13:A19">
    <x:cfRule type="containsText" dxfId="28" priority="1" operator="containsText" text="Done"/>
    <x:cfRule type="containsText" dxfId="29" priority="2" operator="containsText" text="Blocked"/>
    <x:cfRule type="containsText" dxfId="30" priority="3" operator="containsText" text="In Progress"/>
    <x:cfRule type="containsText" dxfId="31" priority="4" operator="containsText" text="Code Review"/>
    <x:cfRule type="containsText" dxfId="32" priority="5" operator="containsText" text="Q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2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2" customHeight="1">
      <x:c r="A1" s="3" t="str">
        <x:v>DASHBOARD ĐIỀU HÀNH SPRINT</x:v>
      </x:c>
      <x:c r="B1" s="3" t="str">
        <x:v>DASHBOARD ĐIỀU HÀNH SPRINT</x:v>
      </x:c>
      <x:c r="C1" s="3" t="str">
        <x:v>DASHBOARD ĐIỀU HÀNH SPRINT</x:v>
      </x:c>
      <x:c r="D1" s="3" t="str">
        <x:v>DASHBOARD ĐIỀU HÀNH SPRINT</x:v>
      </x:c>
      <x:c r="E1" s="3" t="str">
        <x:v>DASHBOARD ĐIỀU HÀNH SPRINT</x:v>
      </x:c>
      <x:c r="F1" s="3" t="str">
        <x:v>DASHBOARD ĐIỀU HÀNH SPRINT</x:v>
      </x:c>
      <x:c r="G1" s="3" t="str">
        <x:v>DASHBOARD ĐIỀU HÀNH SPRINT</x:v>
      </x:c>
      <x:c r="H1" s="3" t="str">
        <x:v>DASHBOARD ĐIỀU HÀNH SPRINT</x:v>
      </x:c>
      <x:c r="I1" s="3" t="str">
        <x:v>DASHBOARD ĐIỀU HÀNH SPRINT</x:v>
      </x:c>
      <x:c r="J1" s="3" t="str">
        <x:v>DASHBOARD ĐIỀU HÀNH SPRINT</x:v>
      </x:c>
      <x:c r="K1" s="3" t="str">
        <x:v>DASHBOARD ĐIỀU HÀNH SPRINT</x:v>
      </x:c>
      <x:c r="L1" s="3" t="str">
        <x:v>DASHBOARD ĐIỀU HÀNH SPRINT</x:v>
      </x:c>
      <x:c r="M1" s="3" t="str">
        <x:v>DASHBOARD ĐIỀU HÀNH SPRINT</x:v>
      </x:c>
      <x:c r="N1" s="3" t="str">
        <x:v>DASHBOARD ĐIỀU HÀNH SPRINT</x:v>
      </x:c>
      <x:c r="O1" s="3" t="str">
        <x:v>DASHBOARD ĐIỀU HÀNH SPRINT</x:v>
      </x:c>
      <x:c r="P1" s="3" t="str">
        <x:v>DASHBOARD ĐIỀU HÀNH SPRINT</x:v>
      </x:c>
    </x:row>
    <x:row r="2" ht="28" customHeight="1">
      <x:c r="A2" s="7" t="str">
        <x:v>Tự động tổng hợp từ hai tab Backend và Frontend. Đổi Sprint đang báo cáo tại tab Cấu hình để đồng bộ toàn bộ workbook.</x:v>
      </x:c>
      <x:c r="B2" s="7" t="str">
        <x:v>Tự động tổng hợp từ hai tab Backend và Frontend. Đổi Sprint đang báo cáo tại tab Cấu hình để đồng bộ toàn bộ workbook.</x:v>
      </x:c>
      <x:c r="C2" s="7" t="str">
        <x:v>Tự động tổng hợp từ hai tab Backend và Frontend. Đổi Sprint đang báo cáo tại tab Cấu hình để đồng bộ toàn bộ workbook.</x:v>
      </x:c>
      <x:c r="D2" s="7" t="str">
        <x:v>Tự động tổng hợp từ hai tab Backend và Frontend. Đổi Sprint đang báo cáo tại tab Cấu hình để đồng bộ toàn bộ workbook.</x:v>
      </x:c>
      <x:c r="E2" s="7" t="str">
        <x:v>Tự động tổng hợp từ hai tab Backend và Frontend. Đổi Sprint đang báo cáo tại tab Cấu hình để đồng bộ toàn bộ workbook.</x:v>
      </x:c>
      <x:c r="F2" s="7" t="str">
        <x:v>Tự động tổng hợp từ hai tab Backend và Frontend. Đổi Sprint đang báo cáo tại tab Cấu hình để đồng bộ toàn bộ workbook.</x:v>
      </x:c>
      <x:c r="G2" s="7" t="str">
        <x:v>Tự động tổng hợp từ hai tab Backend và Frontend. Đổi Sprint đang báo cáo tại tab Cấu hình để đồng bộ toàn bộ workbook.</x:v>
      </x:c>
      <x:c r="H2" s="7" t="str">
        <x:v>Tự động tổng hợp từ hai tab Backend và Frontend. Đổi Sprint đang báo cáo tại tab Cấu hình để đồng bộ toàn bộ workbook.</x:v>
      </x:c>
      <x:c r="I2" s="7" t="str">
        <x:v>Tự động tổng hợp từ hai tab Backend và Frontend. Đổi Sprint đang báo cáo tại tab Cấu hình để đồng bộ toàn bộ workbook.</x:v>
      </x:c>
      <x:c r="J2" s="7" t="str">
        <x:v>Tự động tổng hợp từ hai tab Backend và Frontend. Đổi Sprint đang báo cáo tại tab Cấu hình để đồng bộ toàn bộ workbook.</x:v>
      </x:c>
      <x:c r="K2" s="7" t="str">
        <x:v>Tự động tổng hợp từ hai tab Backend và Frontend. Đổi Sprint đang báo cáo tại tab Cấu hình để đồng bộ toàn bộ workbook.</x:v>
      </x:c>
      <x:c r="L2" s="7" t="str">
        <x:v>Tự động tổng hợp từ hai tab Backend và Frontend. Đổi Sprint đang báo cáo tại tab Cấu hình để đồng bộ toàn bộ workbook.</x:v>
      </x:c>
      <x:c r="M2" s="7" t="str">
        <x:v>Tự động tổng hợp từ hai tab Backend và Frontend. Đổi Sprint đang báo cáo tại tab Cấu hình để đồng bộ toàn bộ workbook.</x:v>
      </x:c>
      <x:c r="N2" s="7" t="str">
        <x:v>Tự động tổng hợp từ hai tab Backend và Frontend. Đổi Sprint đang báo cáo tại tab Cấu hình để đồng bộ toàn bộ workbook.</x:v>
      </x:c>
      <x:c r="O2" s="7" t="str">
        <x:v>Tự động tổng hợp từ hai tab Backend và Frontend. Đổi Sprint đang báo cáo tại tab Cấu hình để đồng bộ toàn bộ workbook.</x:v>
      </x:c>
      <x:c r="P2" s="7" t="str">
        <x:v>Tự động tổng hợp từ hai tab Backend và Frontend. Đổi Sprint đang báo cáo tại tab Cấu hình để đồng bộ toàn bộ workbook.</x:v>
      </x:c>
    </x:row>
    <x:row r="4">
      <x:c r="A4" t="str">
        <x:v>Sprint đang xem</x:v>
      </x:c>
      <x:c r="B4"/>
      <x:c r="C4" s="116" t="str">
        <x:f>'Cấu hình'!B5</x:f>
        <x:v>Sprint 24</x:v>
      </x:c>
      <x:c r="F4" t="str">
        <x:v>Ngày báo cáo</x:v>
      </x:c>
      <x:c r="G4"/>
      <x:c r="H4" s="117" t="n">
        <x:f>'Cấu hình'!B9</x:f>
        <x:v>46223</x:v>
      </x:c>
    </x:row>
    <x:row r="6">
      <x:c r="A6" s="126" t="str">
        <x:v>TỔNG TASK</x:v>
      </x:c>
      <x:c r="B6" s="119"/>
      <x:c r="C6" s="120"/>
      <x:c r="E6" s="126" t="str">
        <x:v>ĐÃ HOÀN THÀNH</x:v>
      </x:c>
      <x:c r="F6" s="119"/>
      <x:c r="G6" s="120"/>
      <x:c r="I6" s="126" t="str">
        <x:v>ĐANG THỰC HIỆN</x:v>
      </x:c>
      <x:c r="J6" s="119"/>
      <x:c r="K6" s="120"/>
      <x:c r="M6" s="126" t="str">
        <x:v>BLOCKED</x:v>
      </x:c>
      <x:c r="N6" s="119"/>
      <x:c r="O6" s="120"/>
    </x:row>
    <x:row r="7">
      <x:c r="A7" s="128" t="n">
        <x:f>COUNTIFS('Backend'!$F$6:$F$205,$C$4,'Backend'!$A$6:$A$205,"&lt;&gt;")+COUNTIFS('Frontend'!$F$6:$F$205,$C$4,'Frontend'!$A$6:$A$205,"&lt;&gt;")</x:f>
        <x:v>12</x:v>
      </x:c>
      <x:c r="B7" s="51"/>
      <x:c r="C7" s="122"/>
      <x:c r="E7" s="130" t="n">
        <x:f>COUNTIFS('Backend'!$F$6:$F$205,$C$4,'Backend'!$C$6:$C$205,"Done")+COUNTIFS('Frontend'!$F$6:$F$205,$C$4,'Frontend'!$C$6:$C$205,"Done")</x:f>
        <x:v>2</x:v>
      </x:c>
      <x:c r="F7" s="51"/>
      <x:c r="G7" s="122"/>
      <x:c r="I7" s="132" t="n">
        <x:f>COUNTIFS('Backend'!$F$6:$F$205,$C$4,'Backend'!$C$6:$C$205,"In Progress")+COUNTIFS('Backend'!$F$6:$F$205,$C$4,'Backend'!$C$6:$C$205,"Code Review")+COUNTIFS('Backend'!$F$6:$F$205,$C$4,'Backend'!$C$6:$C$205,"QA")+COUNTIFS('Frontend'!$F$6:$F$205,$C$4,'Frontend'!$C$6:$C$205,"In Progress")+COUNTIFS('Frontend'!$F$6:$F$205,$C$4,'Frontend'!$C$6:$C$205,"Code Review")+COUNTIFS('Frontend'!$F$6:$F$205,$C$4,'Frontend'!$C$6:$C$205,"QA")</x:f>
        <x:v>6</x:v>
      </x:c>
      <x:c r="J7" s="51"/>
      <x:c r="K7" s="122"/>
      <x:c r="M7" s="134" t="n">
        <x:f>COUNTIFS('Backend'!$F$6:$F$205,$C$4,'Backend'!$C$6:$C$205,"Blocked")+COUNTIFS('Frontend'!$F$6:$F$205,$C$4,'Frontend'!$C$6:$C$205,"Blocked")</x:f>
        <x:v>2</x:v>
      </x:c>
      <x:c r="N7" s="51"/>
      <x:c r="O7" s="122"/>
    </x:row>
    <x:row r="8">
      <x:c r="A8" s="123"/>
      <x:c r="B8" s="124"/>
      <x:c r="C8" s="125"/>
      <x:c r="E8" s="123"/>
      <x:c r="F8" s="124"/>
      <x:c r="G8" s="125"/>
      <x:c r="I8" s="123"/>
      <x:c r="J8" s="124"/>
      <x:c r="K8" s="125"/>
      <x:c r="M8" s="123"/>
      <x:c r="N8" s="124"/>
      <x:c r="O8" s="125"/>
    </x:row>
    <x:row r="10">
      <x:c r="A10" s="126" t="str">
        <x:v>QUÁ HẠN</x:v>
      </x:c>
      <x:c r="B10" s="119"/>
      <x:c r="C10" s="120"/>
      <x:c r="E10" s="126" t="str">
        <x:v>TỶ LỆ HOÀN THÀNH</x:v>
      </x:c>
      <x:c r="F10" s="119"/>
      <x:c r="G10" s="120"/>
      <x:c r="I10" s="126" t="str">
        <x:v>PHẠM VI (SP)</x:v>
      </x:c>
      <x:c r="J10" s="119"/>
      <x:c r="K10" s="120"/>
      <x:c r="M10" s="126" t="str">
        <x:v>DONE (SP)</x:v>
      </x:c>
      <x:c r="N10" s="119"/>
      <x:c r="O10" s="120"/>
    </x:row>
    <x:row r="11">
      <x:c r="A11" s="134" t="n">
        <x:f>COUNTIFS('Backend'!$F$6:$F$205,$C$4,'Backend'!$V$6:$V$205,"&gt;0",'Backend'!$C$6:$C$205,"&lt;&gt;Done",'Backend'!$C$6:$C$205,"&lt;&gt;Cancelled")+COUNTIFS('Frontend'!$F$6:$F$205,$C$4,'Frontend'!$V$6:$V$205,"&gt;0",'Frontend'!$C$6:$C$205,"&lt;&gt;Done",'Frontend'!$C$6:$C$205,"&lt;&gt;Cancelled")</x:f>
        <x:v>0</x:v>
      </x:c>
      <x:c r="B11" s="51"/>
      <x:c r="C11" s="122"/>
      <x:c r="E11" s="135" t="n">
        <x:f>IFERROR(E7/A7,0)</x:f>
        <x:v>0.16666666666666666</x:v>
      </x:c>
      <x:c r="F11" s="51"/>
      <x:c r="G11" s="122"/>
      <x:c r="I11" s="136" t="n">
        <x:f>SUMIFS('Backend'!$J$6:$J$205,'Backend'!$F$6:$F$205,$C$4)+SUMIFS('Frontend'!$J$6:$J$205,'Frontend'!$F$6:$F$205,$C$4)</x:f>
        <x:v>61</x:v>
      </x:c>
      <x:c r="J11" s="51"/>
      <x:c r="K11" s="122"/>
      <x:c r="M11" s="137" t="n">
        <x:f>SUMIFS('Backend'!$J$6:$J$205,'Backend'!$F$6:$F$205,$C$4,'Backend'!$C$6:$C$205,"Done")+SUMIFS('Frontend'!$J$6:$J$205,'Frontend'!$F$6:$F$205,$C$4,'Frontend'!$C$6:$C$205,"Done")</x:f>
        <x:v>8</x:v>
      </x:c>
      <x:c r="N11" s="51"/>
      <x:c r="O11" s="122"/>
    </x:row>
    <x:row r="12">
      <x:c r="A12" s="123"/>
      <x:c r="B12" s="124"/>
      <x:c r="C12" s="125"/>
      <x:c r="E12" s="123"/>
      <x:c r="F12" s="124"/>
      <x:c r="G12" s="125"/>
      <x:c r="I12" s="123"/>
      <x:c r="J12" s="124"/>
      <x:c r="K12" s="125"/>
      <x:c r="M12" s="123"/>
      <x:c r="N12" s="124"/>
      <x:c r="O12" s="125"/>
    </x:row>
    <x:row r="14" ht="22" customHeight="1">
      <x:c r="A14" s="10" t="str">
        <x:v>PHÂN BỔ TRẠNG THÁI</x:v>
      </x:c>
      <x:c r="B14" s="10" t="str">
        <x:v>PHÂN BỔ TRẠNG THÁI</x:v>
      </x:c>
      <x:c r="C14" s="10" t="str">
        <x:v>PHÂN BỔ TRẠNG THÁI</x:v>
      </x:c>
      <x:c r="D14" s="10" t="str">
        <x:v>PHÂN BỔ TRẠNG THÁI</x:v>
      </x:c>
      <x:c r="E14" s="10" t="str">
        <x:v>PHÂN BỔ ƯU TIÊN</x:v>
      </x:c>
      <x:c r="F14" s="10" t="str">
        <x:v>PHÂN BỔ ƯU TIÊN</x:v>
      </x:c>
      <x:c r="G14" s="10" t="str">
        <x:v>PHÂN BỔ ƯU TIÊN</x:v>
      </x:c>
      <x:c r="H14" s="10" t="str">
        <x:v>PHÂN BỔ ƯU TIÊN</x:v>
      </x:c>
    </x:row>
    <x:row r="15">
      <x:c r="A15" s="138" t="str">
        <x:v>Backlog</x:v>
      </x:c>
      <x:c r="B15" s="138" t="n">
        <x:f>COUNTIFS('Backend'!$F$6:$F$205,$C$4,'Backend'!$C$6:$C$205,A15)+COUNTIFS('Frontend'!$F$6:$F$205,$C$4,'Frontend'!$C$6:$C$205,A15)</x:f>
        <x:v>0</x:v>
      </x:c>
      <x:c r="E15" s="138" t="str">
        <x:v>P0 - Critical</x:v>
      </x:c>
      <x:c r="F15" s="138" t="n">
        <x:f>COUNTIFS('Backend'!$F$6:$F$205,$C$4,'Backend'!$D$6:$D$205,E15)+COUNTIFS('Frontend'!$F$6:$F$205,$C$4,'Frontend'!$D$6:$D$205,E15)</x:f>
        <x:v>2</x:v>
      </x:c>
    </x:row>
    <x:row r="16">
      <x:c r="A16" s="139" t="str">
        <x:v>Ready</x:v>
      </x:c>
      <x:c r="B16" s="139" t="n">
        <x:f>COUNTIFS('Backend'!$F$6:$F$205,$C$4,'Backend'!$C$6:$C$205,A16)+COUNTIFS('Frontend'!$F$6:$F$205,$C$4,'Frontend'!$C$6:$C$205,A16)</x:f>
        <x:v>2</x:v>
      </x:c>
      <x:c r="E16" s="139" t="str">
        <x:v>P1 - High</x:v>
      </x:c>
      <x:c r="F16" s="139" t="n">
        <x:f>COUNTIFS('Backend'!$F$6:$F$205,$C$4,'Backend'!$D$6:$D$205,E16)+COUNTIFS('Frontend'!$F$6:$F$205,$C$4,'Frontend'!$D$6:$D$205,E16)</x:f>
        <x:v>4</x:v>
      </x:c>
    </x:row>
    <x:row r="17">
      <x:c r="A17" s="139" t="str">
        <x:v>In Progress</x:v>
      </x:c>
      <x:c r="B17" s="139" t="n">
        <x:f>COUNTIFS('Backend'!$F$6:$F$205,$C$4,'Backend'!$C$6:$C$205,A17)+COUNTIFS('Frontend'!$F$6:$F$205,$C$4,'Frontend'!$C$6:$C$205,A17)</x:f>
        <x:v>2</x:v>
      </x:c>
      <x:c r="E17" s="139" t="str">
        <x:v>P2 - Medium</x:v>
      </x:c>
      <x:c r="F17" s="139" t="n">
        <x:f>COUNTIFS('Backend'!$F$6:$F$205,$C$4,'Backend'!$D$6:$D$205,E17)+COUNTIFS('Frontend'!$F$6:$F$205,$C$4,'Frontend'!$D$6:$D$205,E17)</x:f>
        <x:v>4</x:v>
      </x:c>
    </x:row>
    <x:row r="18">
      <x:c r="A18" s="139" t="str">
        <x:v>Code Review</x:v>
      </x:c>
      <x:c r="B18" s="139" t="n">
        <x:f>COUNTIFS('Backend'!$F$6:$F$205,$C$4,'Backend'!$C$6:$C$205,A18)+COUNTIFS('Frontend'!$F$6:$F$205,$C$4,'Frontend'!$C$6:$C$205,A18)</x:f>
        <x:v>2</x:v>
      </x:c>
      <x:c r="E18" s="140" t="str">
        <x:v>P3 - Low</x:v>
      </x:c>
      <x:c r="F18" s="140" t="n">
        <x:f>COUNTIFS('Backend'!$F$6:$F$205,$C$4,'Backend'!$D$6:$D$205,E18)+COUNTIFS('Frontend'!$F$6:$F$205,$C$4,'Frontend'!$D$6:$D$205,E18)</x:f>
        <x:v>2</x:v>
      </x:c>
    </x:row>
    <x:row r="19">
      <x:c r="A19" s="139" t="str">
        <x:v>QA</x:v>
      </x:c>
      <x:c r="B19" s="139" t="n">
        <x:f>COUNTIFS('Backend'!$F$6:$F$205,$C$4,'Backend'!$C$6:$C$205,A19)+COUNTIFS('Frontend'!$F$6:$F$205,$C$4,'Frontend'!$C$6:$C$205,A19)</x:f>
        <x:v>2</x:v>
      </x:c>
    </x:row>
    <x:row r="20">
      <x:c r="A20" s="139" t="str">
        <x:v>Blocked</x:v>
      </x:c>
      <x:c r="B20" s="139" t="n">
        <x:f>COUNTIFS('Backend'!$F$6:$F$205,$C$4,'Backend'!$C$6:$C$205,A20)+COUNTIFS('Frontend'!$F$6:$F$205,$C$4,'Frontend'!$C$6:$C$205,A20)</x:f>
        <x:v>2</x:v>
      </x:c>
    </x:row>
    <x:row r="21">
      <x:c r="A21" s="139" t="str">
        <x:v>Done</x:v>
      </x:c>
      <x:c r="B21" s="139" t="n">
        <x:f>COUNTIFS('Backend'!$F$6:$F$205,$C$4,'Backend'!$C$6:$C$205,A21)+COUNTIFS('Frontend'!$F$6:$F$205,$C$4,'Frontend'!$C$6:$C$205,A21)</x:f>
        <x:v>2</x:v>
      </x:c>
    </x:row>
    <x:row r="22">
      <x:c r="A22" s="140" t="str">
        <x:v>Cancelled</x:v>
      </x:c>
      <x:c r="B22" s="140" t="n">
        <x:f>COUNTIFS('Backend'!$F$6:$F$205,$C$4,'Backend'!$C$6:$C$205,A22)+COUNTIFS('Frontend'!$F$6:$F$205,$C$4,'Frontend'!$C$6:$C$205,A22)</x:f>
        <x:v>0</x:v>
      </x:c>
    </x:row>
    <x:row r="25" ht="22" customHeight="1">
      <x:c r="A25" s="10" t="str">
        <x:v>HIỆU SUẤT THEO ĐỘI</x:v>
      </x:c>
      <x:c r="B25" s="10" t="str">
        <x:v>HIỆU SUẤT THEO ĐỘI</x:v>
      </x:c>
      <x:c r="C25" s="10" t="str">
        <x:v>HIỆU SUẤT THEO ĐỘI</x:v>
      </x:c>
      <x:c r="D25" s="10" t="str">
        <x:v>HIỆU SUẤT THEO ĐỘI</x:v>
      </x:c>
      <x:c r="E25" s="10" t="str">
        <x:v>HIỆU SUẤT THEO ĐỘI</x:v>
      </x:c>
      <x:c r="F25" s="10" t="str">
        <x:v>HIỆU SUẤT THEO ĐỘI</x:v>
      </x:c>
      <x:c r="G25" s="10" t="str">
        <x:v>HIỆU SUẤT THEO ĐỘI</x:v>
      </x:c>
      <x:c r="H25" s="10" t="str">
        <x:v>HIỆU SUẤT THEO ĐỘI</x:v>
      </x:c>
    </x:row>
    <x:row r="26" ht="34" customHeight="1">
      <x:c r="A26" s="30" t="str">
        <x:v>Đội</x:v>
      </x:c>
      <x:c r="B26" s="31" t="str">
        <x:v>Tổng task</x:v>
      </x:c>
      <x:c r="C26" s="31" t="str">
        <x:v>Done</x:v>
      </x:c>
      <x:c r="D26" s="31" t="str">
        <x:v>Blocked</x:v>
      </x:c>
      <x:c r="E26" s="31" t="str">
        <x:v>Scope SP</x:v>
      </x:c>
      <x:c r="F26" s="32" t="str">
        <x:v>Done SP</x:v>
      </x:c>
    </x:row>
    <x:row r="27">
      <x:c r="A27" s="138" t="str">
        <x:v>Backend</x:v>
      </x:c>
      <x:c r="B27" s="138" t="n">
        <x:f>COUNTIFS('Backend'!$F$6:$F$205,$C$4,'Backend'!$A$6:$A$205,"&lt;&gt;")</x:f>
        <x:v>6</x:v>
      </x:c>
      <x:c r="C27" s="138" t="n">
        <x:f>COUNTIFS('Backend'!$F$6:$F$205,$C$4,'Backend'!$C$6:$C$205,"Done")</x:f>
        <x:v>1</x:v>
      </x:c>
      <x:c r="D27" s="138" t="n">
        <x:f>COUNTIFS('Backend'!$F$6:$F$205,$C$4,'Backend'!$C$6:$C$205,"Blocked")</x:f>
        <x:v>1</x:v>
      </x:c>
      <x:c r="E27" s="138" t="n">
        <x:f>SUMIFS('Backend'!$J$6:$J$205,'Backend'!$F$6:$F$205,$C$4)</x:f>
        <x:v>34</x:v>
      </x:c>
      <x:c r="F27" s="138" t="n">
        <x:f>SUMIFS('Backend'!$J$6:$J$205,'Backend'!$F$6:$F$205,$C$4,'Backend'!$C$6:$C$205,"Done")</x:f>
        <x:v>5</x:v>
      </x:c>
    </x:row>
    <x:row r="28">
      <x:c r="A28" s="140" t="str">
        <x:v>Frontend</x:v>
      </x:c>
      <x:c r="B28" s="140" t="n">
        <x:f>COUNTIFS('Frontend'!$F$6:$F$205,$C$4,'Frontend'!$A$6:$A$205,"&lt;&gt;")</x:f>
        <x:v>6</x:v>
      </x:c>
      <x:c r="C28" s="140" t="n">
        <x:f>COUNTIFS('Frontend'!$F$6:$F$205,$C$4,'Frontend'!$C$6:$C$205,"Done")</x:f>
        <x:v>1</x:v>
      </x:c>
      <x:c r="D28" s="140" t="n">
        <x:f>COUNTIFS('Frontend'!$F$6:$F$205,$C$4,'Frontend'!$C$6:$C$205,"Blocked")</x:f>
        <x:v>1</x:v>
      </x:c>
      <x:c r="E28" s="140" t="n">
        <x:f>SUMIFS('Frontend'!$J$6:$J$205,'Frontend'!$F$6:$F$205,$C$4)</x:f>
        <x:v>27</x:v>
      </x:c>
      <x:c r="F28" s="140" t="n">
        <x:f>SUMIFS('Frontend'!$J$6:$J$205,'Frontend'!$F$6:$F$205,$C$4,'Frontend'!$C$6:$C$205,"Done")</x:f>
        <x:v>3</x:v>
      </x:c>
    </x:row>
  </x:sheetData>
  <x:mergeCells>
    <x:mergeCell ref="A1:P1"/>
    <x:mergeCell ref="A2:P2"/>
    <x:mergeCell ref="A14:D14"/>
    <x:mergeCell ref="E14:H14"/>
    <x:mergeCell ref="A25:H25"/>
  </x:mergeCells>
  <x:pageMargins left="0.7" right="0.7" top="0.75" bottom="0.75" header="0.3" footer="0.3"/>
  <x:drawing xmlns:r="http://schemas.openxmlformats.org/officeDocument/2006/relationships" r:id="Rc2e0de9458ec49c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17" hidden="0" customWidth="1"/>
    <x:col min="9" max="9" width="13" hidden="0" customWidth="1"/>
    <x:col min="10" max="10" width="11" hidden="0" customWidth="1"/>
    <x:col min="11" max="11" width="12" hidden="0" customWidth="1"/>
    <x:col min="12" max="12" width="11" hidden="0" customWidth="1"/>
    <x:col min="13" max="13" width="18" hidden="0" customWidth="1"/>
    <x:col min="14" max="14" width="42" hidden="0" customWidth="1"/>
    <x:col min="15" max="15" width="14" hidden="0" customWidth="1"/>
    <x:col min="16" max="16" width="13" hidden="0" customWidth="1"/>
    <x:col min="17" max="17" width="13" hidden="0" customWidth="1"/>
    <x:col min="18" max="18" width="12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4" hidden="0" customWidth="1"/>
    <x:col min="27" max="27" width="11" hidden="0" customWidth="1"/>
    <x:col min="28" max="28" width="17" hidden="0" customWidth="1"/>
    <x:col min="29" max="29" width="14" hidden="0" customWidth="1"/>
  </x:cols>
  <x:sheetData>
    <x:row r="1" ht="32" customHeight="1">
      <x:c r="A1" s="45" t="str">
        <x:v>BACKEND — TASK DATABASE</x:v>
      </x:c>
      <x:c r="B1" s="45" t="str">
        <x:v>BACKEND — TASK DATABASE</x:v>
      </x:c>
      <x:c r="C1" s="45" t="str">
        <x:v>BACKEND — TASK DATABASE</x:v>
      </x:c>
      <x:c r="D1" s="45" t="str">
        <x:v>BACKEND — TASK DATABASE</x:v>
      </x:c>
      <x:c r="E1" s="45" t="str">
        <x:v>BACKEND — TASK DATABASE</x:v>
      </x:c>
      <x:c r="F1" s="45" t="str">
        <x:v>BACKEND — TASK DATABASE</x:v>
      </x:c>
      <x:c r="G1" s="45" t="str">
        <x:v>BACKEND — TASK DATABASE</x:v>
      </x:c>
      <x:c r="H1" s="45" t="str">
        <x:v>BACKEND — TASK DATABASE</x:v>
      </x:c>
      <x:c r="I1" s="45" t="str">
        <x:v>BACKEND — TASK DATABASE</x:v>
      </x:c>
      <x:c r="J1" s="45" t="str">
        <x:v>BACKEND — TASK DATABASE</x:v>
      </x:c>
      <x:c r="K1" s="45" t="str">
        <x:v>BACKEND — TASK DATABASE</x:v>
      </x:c>
      <x:c r="L1" s="45" t="str">
        <x:v>BACKEND — TASK DATABASE</x:v>
      </x:c>
      <x:c r="M1" s="45" t="str">
        <x:v>BACKEND — TASK DATABASE</x:v>
      </x:c>
      <x:c r="N1" s="45" t="str">
        <x:v>BACKEND — TASK DATABASE</x:v>
      </x:c>
      <x:c r="O1" s="45" t="str">
        <x:v>BACKEND — TASK DATABASE</x:v>
      </x:c>
      <x:c r="P1" s="45" t="str">
        <x:v>BACKEND — TASK DATABASE</x:v>
      </x:c>
      <x:c r="Q1" s="45" t="str">
        <x:v>BACKEND — TASK DATABASE</x:v>
      </x:c>
      <x:c r="R1" s="45" t="str">
        <x:v>BACKEND — TASK DATABASE</x:v>
      </x:c>
      <x:c r="S1" s="45" t="str">
        <x:v>BACKEND — TASK DATABASE</x:v>
      </x:c>
      <x:c r="T1" s="45" t="str">
        <x:v>BACKEND — TASK DATABASE</x:v>
      </x:c>
      <x:c r="U1" s="45" t="str">
        <x:v>BACKEND — TASK DATABASE</x:v>
      </x:c>
      <x:c r="V1" s="45" t="str">
        <x:v>BACKEND — TASK DATABASE</x:v>
      </x:c>
      <x:c r="W1" s="45" t="str">
        <x:v>BACKEND — TASK DATABASE</x:v>
      </x:c>
      <x:c r="X1" s="45" t="str">
        <x:v>BACKEND — TASK DATABASE</x:v>
      </x:c>
      <x:c r="Y1" s="45" t="str">
        <x:v>BACKEND — TASK DATABASE</x:v>
      </x:c>
      <x:c r="Z1" s="45" t="str">
        <x:v>BACKEND — TASK DATABASE</x:v>
      </x:c>
      <x:c r="AA1" s="45" t="str">
        <x:v>BACKEND — TASK DATABASE</x:v>
      </x:c>
      <x:c r="AB1" s="45" t="str">
        <x:v>BACKEND — TASK DATABASE</x:v>
      </x:c>
      <x:c r="AC1" s="45" t="str">
        <x:v>BACKEND — TASK DATABASE</x:v>
      </x:c>
    </x:row>
    <x:row r="2" ht="28" customHeight="1">
      <x:c r="A2" s="47" t="str">
        <x:v>Notion-style task database: điền các ô nền trắng, chọn property bằng dropdown; cột nền xám là công thức tự đồng bộ. Thay hoặc xóa các dòng DEMO trước khi dùng thật.</x:v>
      </x:c>
      <x:c r="B2" s="47" t="str">
        <x:v>Notion-style task database: điền các ô nền trắng, chọn property bằng dropdown; cột nền xám là công thức tự đồng bộ. Thay hoặc xóa các dòng DEMO trước khi dùng thật.</x:v>
      </x:c>
      <x:c r="C2" s="47" t="str">
        <x:v>Notion-style task database: điền các ô nền trắng, chọn property bằng dropdown; cột nền xám là công thức tự đồng bộ. Thay hoặc xóa các dòng DEMO trước khi dùng thật.</x:v>
      </x:c>
      <x:c r="D2" s="47" t="str">
        <x:v>Notion-style task database: điền các ô nền trắng, chọn property bằng dropdown; cột nền xám là công thức tự đồng bộ. Thay hoặc xóa các dòng DEMO trước khi dùng thật.</x:v>
      </x:c>
      <x:c r="E2" s="47" t="str">
        <x:v>Notion-style task database: điền các ô nền trắng, chọn property bằng dropdown; cột nền xám là công thức tự đồng bộ. Thay hoặc xóa các dòng DEMO trước khi dùng thật.</x:v>
      </x:c>
      <x:c r="F2" s="47" t="str">
        <x:v>Notion-style task database: điền các ô nền trắng, chọn property bằng dropdown; cột nền xám là công thức tự đồng bộ. Thay hoặc xóa các dòng DEMO trước khi dùng thật.</x:v>
      </x:c>
      <x:c r="G2" s="47" t="str">
        <x:v>Notion-style task database: điền các ô nền trắng, chọn property bằng dropdown; cột nền xám là công thức tự đồng bộ. Thay hoặc xóa các dòng DEMO trước khi dùng thật.</x:v>
      </x:c>
      <x:c r="H2" s="47" t="str">
        <x:v>Notion-style task database: điền các ô nền trắng, chọn property bằng dropdown; cột nền xám là công thức tự đồng bộ. Thay hoặc xóa các dòng DEMO trước khi dùng thật.</x:v>
      </x:c>
      <x:c r="I2" s="47" t="str">
        <x:v>Notion-style task database: điền các ô nền trắng, chọn property bằng dropdown; cột nền xám là công thức tự đồng bộ. Thay hoặc xóa các dòng DEMO trước khi dùng thật.</x:v>
      </x:c>
      <x:c r="J2" s="47" t="str">
        <x:v>Notion-style task database: điền các ô nền trắng, chọn property bằng dropdown; cột nền xám là công thức tự đồng bộ. Thay hoặc xóa các dòng DEMO trước khi dùng thật.</x:v>
      </x:c>
      <x:c r="K2" s="47" t="str">
        <x:v>Notion-style task database: điền các ô nền trắng, chọn property bằng dropdown; cột nền xám là công thức tự đồng bộ. Thay hoặc xóa các dòng DEMO trước khi dùng thật.</x:v>
      </x:c>
      <x:c r="L2" s="47" t="str">
        <x:v>Notion-style task database: điền các ô nền trắng, chọn property bằng dropdown; cột nền xám là công thức tự đồng bộ. Thay hoặc xóa các dòng DEMO trước khi dùng thật.</x:v>
      </x:c>
      <x:c r="M2" s="47" t="str">
        <x:v>Notion-style task database: điền các ô nền trắng, chọn property bằng dropdown; cột nền xám là công thức tự đồng bộ. Thay hoặc xóa các dòng DEMO trước khi dùng thật.</x:v>
      </x:c>
      <x:c r="N2" s="47" t="str">
        <x:v>Notion-style task database: điền các ô nền trắng, chọn property bằng dropdown; cột nền xám là công thức tự đồng bộ. Thay hoặc xóa các dòng DEMO trước khi dùng thật.</x:v>
      </x:c>
      <x:c r="O2" s="47" t="str">
        <x:v>Notion-style task database: điền các ô nền trắng, chọn property bằng dropdown; cột nền xám là công thức tự đồng bộ. Thay hoặc xóa các dòng DEMO trước khi dùng thật.</x:v>
      </x:c>
      <x:c r="P2" s="47" t="str">
        <x:v>Notion-style task database: điền các ô nền trắng, chọn property bằng dropdown; cột nền xám là công thức tự đồng bộ. Thay hoặc xóa các dòng DEMO trước khi dùng thật.</x:v>
      </x:c>
      <x:c r="Q2" s="47" t="str">
        <x:v>Notion-style task database: điền các ô nền trắng, chọn property bằng dropdown; cột nền xám là công thức tự đồng bộ. Thay hoặc xóa các dòng DEMO trước khi dùng thật.</x:v>
      </x:c>
      <x:c r="R2" s="47" t="str">
        <x:v>Notion-style task database: điền các ô nền trắng, chọn property bằng dropdown; cột nền xám là công thức tự đồng bộ. Thay hoặc xóa các dòng DEMO trước khi dùng thật.</x:v>
      </x:c>
      <x:c r="S2" s="47" t="str">
        <x:v>Notion-style task database: điền các ô nền trắng, chọn property bằng dropdown; cột nền xám là công thức tự đồng bộ. Thay hoặc xóa các dòng DEMO trước khi dùng thật.</x:v>
      </x:c>
      <x:c r="T2" s="47" t="str">
        <x:v>Notion-style task database: điền các ô nền trắng, chọn property bằng dropdown; cột nền xám là công thức tự đồng bộ. Thay hoặc xóa các dòng DEMO trước khi dùng thật.</x:v>
      </x:c>
      <x:c r="U2" s="47" t="str">
        <x:v>Notion-style task database: điền các ô nền trắng, chọn property bằng dropdown; cột nền xám là công thức tự đồng bộ. Thay hoặc xóa các dòng DEMO trước khi dùng thật.</x:v>
      </x:c>
      <x:c r="V2" s="47" t="str">
        <x:v>Notion-style task database: điền các ô nền trắng, chọn property bằng dropdown; cột nền xám là công thức tự đồng bộ. Thay hoặc xóa các dòng DEMO trước khi dùng thật.</x:v>
      </x:c>
      <x:c r="W2" s="47" t="str">
        <x:v>Notion-style task database: điền các ô nền trắng, chọn property bằng dropdown; cột nền xám là công thức tự đồng bộ. Thay hoặc xóa các dòng DEMO trước khi dùng thật.</x:v>
      </x:c>
      <x:c r="X2" s="47" t="str">
        <x:v>Notion-style task database: điền các ô nền trắng, chọn property bằng dropdown; cột nền xám là công thức tự đồng bộ. Thay hoặc xóa các dòng DEMO trước khi dùng thật.</x:v>
      </x:c>
      <x:c r="Y2" s="47" t="str">
        <x:v>Notion-style task database: điền các ô nền trắng, chọn property bằng dropdown; cột nền xám là công thức tự đồng bộ. Thay hoặc xóa các dòng DEMO trước khi dùng thật.</x:v>
      </x:c>
      <x:c r="Z2" s="47" t="str">
        <x:v>Notion-style task database: điền các ô nền trắng, chọn property bằng dropdown; cột nền xám là công thức tự đồng bộ. Thay hoặc xóa các dòng DEMO trước khi dùng thật.</x:v>
      </x:c>
      <x:c r="AA2" s="47" t="str">
        <x:v>Notion-style task database: điền các ô nền trắng, chọn property bằng dropdown; cột nền xám là công thức tự đồng bộ. Thay hoặc xóa các dòng DEMO trước khi dùng thật.</x:v>
      </x:c>
      <x:c r="AB2" s="47" t="str">
        <x:v>Notion-style task database: điền các ô nền trắng, chọn property bằng dropdown; cột nền xám là công thức tự đồng bộ. Thay hoặc xóa các dòng DEMO trước khi dùng thật.</x:v>
      </x:c>
      <x:c r="AC2" s="47" t="str">
        <x:v>Notion-style task database: điền các ô nền trắng, chọn property bằng dropdown; cột nền xám là công thức tự đồng bộ. Thay hoặc xóa các dòng DEMO trước khi dùng thật.</x:v>
      </x:c>
    </x:row>
    <x:row r="3" ht="28" customHeight="1">
      <x:c r="A3" s="50" t="str">
        <x:v>Quy tắc tối thiểu: 1 task = 1 kết quả kiểm chứng được • Luôn có Owner, Priority, Sprint, Estimate và Hạn cam kết • Blocked phải ghi rõ nguyên nhân và người cần hỗ trợ.</x:v>
      </x:c>
      <x:c r="B3" s="50" t="str">
        <x:v>Quy tắc tối thiểu: 1 task = 1 kết quả kiểm chứng được • Luôn có Owner, Priority, Sprint, Estimate và Hạn cam kết • Blocked phải ghi rõ nguyên nhân và người cần hỗ trợ.</x:v>
      </x:c>
      <x:c r="C3" s="50" t="str">
        <x:v>Quy tắc tối thiểu: 1 task = 1 kết quả kiểm chứng được • Luôn có Owner, Priority, Sprint, Estimate và Hạn cam kết • Blocked phải ghi rõ nguyên nhân và người cần hỗ trợ.</x:v>
      </x:c>
      <x:c r="D3" s="50" t="str">
        <x:v>Quy tắc tối thiểu: 1 task = 1 kết quả kiểm chứng được • Luôn có Owner, Priority, Sprint, Estimate và Hạn cam kết • Blocked phải ghi rõ nguyên nhân và người cần hỗ trợ.</x:v>
      </x:c>
      <x:c r="E3" s="50" t="str">
        <x:v>Quy tắc tối thiểu: 1 task = 1 kết quả kiểm chứng được • Luôn có Owner, Priority, Sprint, Estimate và Hạn cam kết • Blocked phải ghi rõ nguyên nhân và người cần hỗ trợ.</x:v>
      </x:c>
      <x:c r="F3" s="50" t="str">
        <x:v>Quy tắc tối thiểu: 1 task = 1 kết quả kiểm chứng được • Luôn có Owner, Priority, Sprint, Estimate và Hạn cam kết • Blocked phải ghi rõ nguyên nhân và người cần hỗ trợ.</x:v>
      </x:c>
      <x:c r="G3" s="50" t="str">
        <x:v>Quy tắc tối thiểu: 1 task = 1 kết quả kiểm chứng được • Luôn có Owner, Priority, Sprint, Estimate và Hạn cam kết • Blocked phải ghi rõ nguyên nhân và người cần hỗ trợ.</x:v>
      </x:c>
      <x:c r="H3" s="50" t="str">
        <x:v>Quy tắc tối thiểu: 1 task = 1 kết quả kiểm chứng được • Luôn có Owner, Priority, Sprint, Estimate và Hạn cam kết • Blocked phải ghi rõ nguyên nhân và người cần hỗ trợ.</x:v>
      </x:c>
      <x:c r="I3" s="50" t="str">
        <x:v>Quy tắc tối thiểu: 1 task = 1 kết quả kiểm chứng được • Luôn có Owner, Priority, Sprint, Estimate và Hạn cam kết • Blocked phải ghi rõ nguyên nhân và người cần hỗ trợ.</x:v>
      </x:c>
      <x:c r="J3" s="50" t="str">
        <x:v>Quy tắc tối thiểu: 1 task = 1 kết quả kiểm chứng được • Luôn có Owner, Priority, Sprint, Estimate và Hạn cam kết • Blocked phải ghi rõ nguyên nhân và người cần hỗ trợ.</x:v>
      </x:c>
      <x:c r="K3" s="50" t="str">
        <x:v>Quy tắc tối thiểu: 1 task = 1 kết quả kiểm chứng được • Luôn có Owner, Priority, Sprint, Estimate và Hạn cam kết • Blocked phải ghi rõ nguyên nhân và người cần hỗ trợ.</x:v>
      </x:c>
      <x:c r="L3" s="50" t="str">
        <x:v>Quy tắc tối thiểu: 1 task = 1 kết quả kiểm chứng được • Luôn có Owner, Priority, Sprint, Estimate và Hạn cam kết • Blocked phải ghi rõ nguyên nhân và người cần hỗ trợ.</x:v>
      </x:c>
      <x:c r="M3" s="50" t="str">
        <x:v>Quy tắc tối thiểu: 1 task = 1 kết quả kiểm chứng được • Luôn có Owner, Priority, Sprint, Estimate và Hạn cam kết • Blocked phải ghi rõ nguyên nhân và người cần hỗ trợ.</x:v>
      </x:c>
      <x:c r="N3" s="50" t="str">
        <x:v>Quy tắc tối thiểu: 1 task = 1 kết quả kiểm chứng được • Luôn có Owner, Priority, Sprint, Estimate và Hạn cam kết • Blocked phải ghi rõ nguyên nhân và người cần hỗ trợ.</x:v>
      </x:c>
      <x:c r="O3" s="50" t="str">
        <x:v>Quy tắc tối thiểu: 1 task = 1 kết quả kiểm chứng được • Luôn có Owner, Priority, Sprint, Estimate và Hạn cam kết • Blocked phải ghi rõ nguyên nhân và người cần hỗ trợ.</x:v>
      </x:c>
      <x:c r="P3" s="50" t="str">
        <x:v>Quy tắc tối thiểu: 1 task = 1 kết quả kiểm chứng được • Luôn có Owner, Priority, Sprint, Estimate và Hạn cam kết • Blocked phải ghi rõ nguyên nhân và người cần hỗ trợ.</x:v>
      </x:c>
      <x:c r="Q3" s="50" t="str">
        <x:v>Quy tắc tối thiểu: 1 task = 1 kết quả kiểm chứng được • Luôn có Owner, Priority, Sprint, Estimate và Hạn cam kết • Blocked phải ghi rõ nguyên nhân và người cần hỗ trợ.</x:v>
      </x:c>
      <x:c r="R3" s="50" t="str">
        <x:v>Quy tắc tối thiểu: 1 task = 1 kết quả kiểm chứng được • Luôn có Owner, Priority, Sprint, Estimate và Hạn cam kết • Blocked phải ghi rõ nguyên nhân và người cần hỗ trợ.</x:v>
      </x:c>
      <x:c r="S3" s="50" t="str">
        <x:v>Quy tắc tối thiểu: 1 task = 1 kết quả kiểm chứng được • Luôn có Owner, Priority, Sprint, Estimate và Hạn cam kết • Blocked phải ghi rõ nguyên nhân và người cần hỗ trợ.</x:v>
      </x:c>
      <x:c r="T3" s="50" t="str">
        <x:v>Quy tắc tối thiểu: 1 task = 1 kết quả kiểm chứng được • Luôn có Owner, Priority, Sprint, Estimate và Hạn cam kết • Blocked phải ghi rõ nguyên nhân và người cần hỗ trợ.</x:v>
      </x:c>
      <x:c r="U3" s="50" t="str">
        <x:v>Quy tắc tối thiểu: 1 task = 1 kết quả kiểm chứng được • Luôn có Owner, Priority, Sprint, Estimate và Hạn cam kết • Blocked phải ghi rõ nguyên nhân và người cần hỗ trợ.</x:v>
      </x:c>
      <x:c r="V3" s="50" t="str">
        <x:v>Quy tắc tối thiểu: 1 task = 1 kết quả kiểm chứng được • Luôn có Owner, Priority, Sprint, Estimate và Hạn cam kết • Blocked phải ghi rõ nguyên nhân và người cần hỗ trợ.</x:v>
      </x:c>
      <x:c r="W3" s="50" t="str">
        <x:v>Quy tắc tối thiểu: 1 task = 1 kết quả kiểm chứng được • Luôn có Owner, Priority, Sprint, Estimate và Hạn cam kết • Blocked phải ghi rõ nguyên nhân và người cần hỗ trợ.</x:v>
      </x:c>
      <x:c r="X3" s="50" t="str">
        <x:v>Quy tắc tối thiểu: 1 task = 1 kết quả kiểm chứng được • Luôn có Owner, Priority, Sprint, Estimate và Hạn cam kết • Blocked phải ghi rõ nguyên nhân và người cần hỗ trợ.</x:v>
      </x:c>
      <x:c r="Y3" s="50" t="str">
        <x:v>Quy tắc tối thiểu: 1 task = 1 kết quả kiểm chứng được • Luôn có Owner, Priority, Sprint, Estimate và Hạn cam kết • Blocked phải ghi rõ nguyên nhân và người cần hỗ trợ.</x:v>
      </x:c>
      <x:c r="Z3" s="50" t="str">
        <x:v>Quy tắc tối thiểu: 1 task = 1 kết quả kiểm chứng được • Luôn có Owner, Priority, Sprint, Estimate và Hạn cam kết • Blocked phải ghi rõ nguyên nhân và người cần hỗ trợ.</x:v>
      </x:c>
      <x:c r="AA3" s="50" t="str">
        <x:v>Quy tắc tối thiểu: 1 task = 1 kết quả kiểm chứng được • Luôn có Owner, Priority, Sprint, Estimate và Hạn cam kết • Blocked phải ghi rõ nguyên nhân và người cần hỗ trợ.</x:v>
      </x:c>
      <x:c r="AB3" s="50" t="str">
        <x:v>Quy tắc tối thiểu: 1 task = 1 kết quả kiểm chứng được • Luôn có Owner, Priority, Sprint, Estimate và Hạn cam kết • Blocked phải ghi rõ nguyên nhân và người cần hỗ trợ.</x:v>
      </x:c>
      <x:c r="AC3" s="50" t="str">
        <x:v>Quy tắc tối thiểu: 1 task = 1 kết quả kiểm chứng được • Luôn có Owner, Priority, Sprint, Estimate và Hạn cam kết • Blocked phải ghi rõ nguyên nhân và người cần hỗ trợ.</x:v>
      </x:c>
    </x:row>
    <x:row r="4" ht="24" customHeight="1">
      <x:c r="A4" s="56" t="str">
        <x:v>TASKS</x:v>
      </x:c>
      <x:c r="B4" s="59" t="n">
        <x:f>COUNTIF($A$6:$A$205,"&lt;&gt;")</x:f>
        <x:v>6</x:v>
      </x:c>
      <x:c r="D4" s="56" t="str">
        <x:v>DONE</x:v>
      </x:c>
      <x:c r="E4" s="62" t="n">
        <x:f>COUNTIF($C$6:$C$205,"Done")</x:f>
        <x:v>1</x:v>
      </x:c>
      <x:c r="G4" s="56" t="str">
        <x:v>BLOCKED</x:v>
      </x:c>
      <x:c r="H4" s="65" t="n">
        <x:f>COUNTIF($L$6:$L$205,"Có")</x:f>
        <x:v>1</x:v>
      </x:c>
      <x:c r="J4" s="56" t="str">
        <x:v>OVERDUE</x:v>
      </x:c>
      <x:c r="K4" s="68" t="n">
        <x:f>COUNTIF($V$6:$V$205,"&gt;0")</x:f>
        <x:v>0</x:v>
      </x:c>
      <x:c r="M4" s="56" t="str">
        <x:v>SCOPE SP</x:v>
      </x:c>
      <x:c r="N4" s="71" t="n">
        <x:f>SUM($J$6:$J$205)</x:f>
        <x:v>34</x:v>
      </x:c>
      <x:c r="P4" s="79" t="str">
        <x:v>▦  DATABASE VIEW   •   dùng ▼ để filter/sort   •   nhập task ở dòng trống đầu tiên</x:v>
      </x:c>
      <x:c r="Q4" s="80" t="str">
        <x:v>▦  DATABASE VIEW   •   dùng ▼ để filter/sort   •   nhập task ở dòng trống đầu tiên</x:v>
      </x:c>
      <x:c r="R4" s="80" t="str">
        <x:v>▦  DATABASE VIEW   •   dùng ▼ để filter/sort   •   nhập task ở dòng trống đầu tiên</x:v>
      </x:c>
      <x:c r="S4" s="80" t="str">
        <x:v>▦  DATABASE VIEW   •   dùng ▼ để filter/sort   •   nhập task ở dòng trống đầu tiên</x:v>
      </x:c>
      <x:c r="T4" s="80" t="str">
        <x:v>▦  DATABASE VIEW   •   dùng ▼ để filter/sort   •   nhập task ở dòng trống đầu tiên</x:v>
      </x:c>
      <x:c r="U4" s="80" t="str">
        <x:v>▦  DATABASE VIEW   •   dùng ▼ để filter/sort   •   nhập task ở dòng trống đầu tiên</x:v>
      </x:c>
      <x:c r="V4" s="80" t="str">
        <x:v>▦  DATABASE VIEW   •   dùng ▼ để filter/sort   •   nhập task ở dòng trống đầu tiên</x:v>
      </x:c>
      <x:c r="W4" s="80" t="str">
        <x:v>▦  DATABASE VIEW   •   dùng ▼ để filter/sort   •   nhập task ở dòng trống đầu tiên</x:v>
      </x:c>
      <x:c r="X4" s="80" t="str">
        <x:v>▦  DATABASE VIEW   •   dùng ▼ để filter/sort   •   nhập task ở dòng trống đầu tiên</x:v>
      </x:c>
      <x:c r="Y4" s="80" t="str">
        <x:v>▦  DATABASE VIEW   •   dùng ▼ để filter/sort   •   nhập task ở dòng trống đầu tiên</x:v>
      </x:c>
      <x:c r="Z4" s="80" t="str">
        <x:v>▦  DATABASE VIEW   •   dùng ▼ để filter/sort   •   nhập task ở dòng trống đầu tiên</x:v>
      </x:c>
      <x:c r="AA4" s="80" t="str">
        <x:v>▦  DATABASE VIEW   •   dùng ▼ để filter/sort   •   nhập task ở dòng trống đầu tiên</x:v>
      </x:c>
      <x:c r="AB4" s="80" t="str">
        <x:v>▦  DATABASE VIEW   •   dùng ▼ để filter/sort   •   nhập task ở dòng trống đầu tiên</x:v>
      </x:c>
      <x:c r="AC4" s="81" t="str">
        <x:v>▦  DATABASE VIEW   •   dùng ▼ để filter/sort   •   nhập task ở dòng trống đầu tiên</x:v>
      </x:c>
    </x:row>
    <x:row r="5" ht="34" customHeight="1">
      <x:c r="A5" s="88" t="str">
        <x:v>Task ID</x:v>
      </x:c>
      <x:c r="B5" s="89" t="str">
        <x:v>Tiêu đề</x:v>
      </x:c>
      <x:c r="C5" s="89" t="str">
        <x:v>Trạng thái</x:v>
      </x:c>
      <x:c r="D5" s="89" t="str">
        <x:v>Ưu tiên</x:v>
      </x:c>
      <x:c r="E5" s="89" t="str">
        <x:v>Owner</x:v>
      </x:c>
      <x:c r="F5" s="89" t="str">
        <x:v>Sprint</x:v>
      </x:c>
      <x:c r="G5" s="89" t="str">
        <x:v>Loại</x:v>
      </x:c>
      <x:c r="H5" s="89" t="str">
        <x:v>Epic</x:v>
      </x:c>
      <x:c r="I5" s="89" t="str">
        <x:v>Hạn cam kết</x:v>
      </x:c>
      <x:c r="J5" s="89" t="str">
        <x:v>Estimate (SP)</x:v>
      </x:c>
      <x:c r="K5" s="89" t="str">
        <x:v>Tiến độ %</x:v>
      </x:c>
      <x:c r="L5" s="89" t="str">
        <x:v>Blocked?</x:v>
      </x:c>
      <x:c r="M5" s="89" t="str">
        <x:v>Nhãn</x:v>
      </x:c>
      <x:c r="N5" s="89" t="str">
        <x:v>Mô tả / Acceptance Criteria</x:v>
      </x:c>
      <x:c r="O5" s="89" t="str">
        <x:v>Cập nhật cuối</x:v>
      </x:c>
      <x:c r="P5" s="89" t="str">
        <x:v>Ngày tạo</x:v>
      </x:c>
      <x:c r="Q5" s="89" t="str">
        <x:v>Bắt đầu</x:v>
      </x:c>
      <x:c r="R5" s="89" t="str">
        <x:v>Hạn SLA</x:v>
      </x:c>
      <x:c r="S5" s="89" t="str">
        <x:v>Hoàn thành</x:v>
      </x:c>
      <x:c r="T5" s="89" t="str">
        <x:v>Actual (giờ)</x:v>
      </x:c>
      <x:c r="U5" s="89" t="str">
        <x:v>Còn lại (ngày)</x:v>
      </x:c>
      <x:c r="V5" s="89" t="str">
        <x:v>Quá hạn (ngày)</x:v>
      </x:c>
      <x:c r="W5" s="89" t="str">
        <x:v>Lý do blocker</x:v>
      </x:c>
      <x:c r="X5" s="89" t="str">
        <x:v>Phụ thuộc</x:v>
      </x:c>
      <x:c r="Y5" s="89" t="str">
        <x:v>Release</x:v>
      </x:c>
      <x:c r="Z5" s="89" t="str">
        <x:v>Môi trường</x:v>
      </x:c>
      <x:c r="AA5" s="89" t="str">
        <x:v>Rủi ro</x:v>
      </x:c>
      <x:c r="AB5" s="89" t="str">
        <x:v>Người yêu cầu</x:v>
      </x:c>
      <x:c r="AC5" s="90" t="str">
        <x:v>Tuổi task (ngày)</x:v>
      </x:c>
    </x:row>
    <x:row r="6" ht="28" customHeight="1">
      <x:c r="A6" s="91" t="str">
        <x:v>DEMO-BE-001</x:v>
      </x:c>
      <x:c r="B6" s="94" t="str">
        <x:v>Refresh token an toàn</x:v>
      </x:c>
      <x:c r="C6" s="91" t="str">
        <x:v>In Progress</x:v>
      </x:c>
      <x:c r="D6" s="91" t="str">
        <x:v>P0 - Critical</x:v>
      </x:c>
      <x:c r="E6" s="91" t="str">
        <x:v>Nguyễn An</x:v>
      </x:c>
      <x:c r="F6" s="91" t="str">
        <x:v>Sprint 24</x:v>
      </x:c>
      <x:c r="G6" s="91" t="str">
        <x:v>Story</x:v>
      </x:c>
      <x:c r="H6" s="91" t="str">
        <x:v>Authentication</x:v>
      </x:c>
      <x:c r="I6" s="100" t="n">
        <x:v>46225</x:v>
      </x:c>
      <x:c r="J6" s="106" t="n">
        <x:v>8</x:v>
      </x:c>
      <x:c r="K6" s="109" t="n">
        <x:f>IF(A6="","",IFERROR(VLOOKUP(C6,'Cấu hình'!$A$12:$D$19,2,FALSE),0))</x:f>
        <x:v>0.5</x:v>
      </x:c>
      <x:c r="L6" s="91" t="str">
        <x:v>Không</x:v>
      </x:c>
      <x:c r="M6" s="91" t="str">
        <x:v>auth,security</x:v>
      </x:c>
      <x:c r="N6" s="94" t="str">
        <x:v>Token được rotate; revoke khi logout; có test happy path và expired token.</x:v>
      </x:c>
      <x:c r="O6" s="100" t="n">
        <x:v>46222</x:v>
      </x:c>
      <x:c r="P6" s="100" t="n">
        <x:v>46215</x:v>
      </x:c>
      <x:c r="Q6" s="100" t="n">
        <x:v>46217</x:v>
      </x:c>
      <x:c r="R6" s="103" t="n">
        <x:f>IF(OR(P6="",D6=""),"",P6+IFERROR(VLOOKUP(D6,'Cấu hình'!$E$12:$G$15,3,FALSE),0))</x:f>
        <x:v>46216</x:v>
      </x:c>
      <x:c r="S6" s="100"/>
      <x:c r="T6" s="106" t="n">
        <x:v>10</x:v>
      </x:c>
      <x:c r="U6" s="112" t="n">
        <x:f>IF(A6="","",IF(S6&lt;&gt;"",0,IF(I6&lt;&gt;"",I6-TODAY(),IF(R6&lt;&gt;"",R6-TODAY(),""))))</x:f>
        <x:v>2</x:v>
      </x:c>
      <x:c r="V6" s="112" t="n">
        <x:f>IF(A6="","",IF(S6&lt;&gt;"",MAX(0,S6-IF(I6&lt;&gt;"",I6,R6)),IF(OR(I6&lt;&gt;"",R6&lt;&gt;""),MAX(0,TODAY()-IF(I6&lt;&gt;"",I6,R6)),0)))</x:f>
        <x:v>0</x:v>
      </x:c>
      <x:c r="W6" s="94"/>
      <x:c r="X6" s="94"/>
      <x:c r="Y6" s="91" t="str">
        <x:v>R2026.07</x:v>
      </x:c>
      <x:c r="Z6" s="91" t="str">
        <x:v>Staging</x:v>
      </x:c>
      <x:c r="AA6" s="91" t="str">
        <x:v>Cao</x:v>
      </x:c>
      <x:c r="AB6" s="91" t="str">
        <x:v>PO</x:v>
      </x:c>
      <x:c r="AC6" s="112" t="n">
        <x:f>IF(A6="","",IF(P6="","",IF(S6&lt;&gt;"",S6-P6,TODAY()-P6)))</x:f>
        <x:v>8</x:v>
      </x:c>
    </x:row>
    <x:row r="7" ht="28" customHeight="1">
      <x:c r="A7" s="92" t="str">
        <x:v>DEMO-BE-002</x:v>
      </x:c>
      <x:c r="B7" s="95" t="str">
        <x:v>Không đồng bộ trạng thái ghi danh</x:v>
      </x:c>
      <x:c r="C7" s="92" t="str">
        <x:v>QA</x:v>
      </x:c>
      <x:c r="D7" s="92" t="str">
        <x:v>P1 - High</x:v>
      </x:c>
      <x:c r="E7" s="92" t="str">
        <x:v>Trần Bình</x:v>
      </x:c>
      <x:c r="F7" s="92" t="str">
        <x:v>Sprint 24</x:v>
      </x:c>
      <x:c r="G7" s="92" t="str">
        <x:v>Bug</x:v>
      </x:c>
      <x:c r="H7" s="92" t="str">
        <x:v>Enrollment</x:v>
      </x:c>
      <x:c r="I7" s="101" t="n">
        <x:v>46223</x:v>
      </x:c>
      <x:c r="J7" s="107" t="n">
        <x:v>5</x:v>
      </x:c>
      <x:c r="K7" s="110" t="n">
        <x:f>IF(A7="","",IFERROR(VLOOKUP(C7,'Cấu hình'!$A$12:$D$19,2,FALSE),0))</x:f>
        <x:v>0.85</x:v>
      </x:c>
      <x:c r="L7" s="92" t="str">
        <x:v>Không</x:v>
      </x:c>
      <x:c r="M7" s="92" t="str">
        <x:v>enrollment</x:v>
      </x:c>
      <x:c r="N7" s="95" t="str">
        <x:v>API trả đúng trạng thái sau retry; không tạo bản ghi trùng.</x:v>
      </x:c>
      <x:c r="O7" s="101" t="n">
        <x:v>46223</x:v>
      </x:c>
      <x:c r="P7" s="101" t="n">
        <x:v>46216</x:v>
      </x:c>
      <x:c r="Q7" s="101" t="n">
        <x:v>46218</x:v>
      </x:c>
      <x:c r="R7" s="104" t="n">
        <x:f>IF(OR(P7="",D7=""),"",P7+IFERROR(VLOOKUP(D7,'Cấu hình'!$E$12:$G$15,3,FALSE),0))</x:f>
        <x:v>46219</x:v>
      </x:c>
      <x:c r="S7" s="101"/>
      <x:c r="T7" s="107" t="n">
        <x:v>6</x:v>
      </x:c>
      <x:c r="U7" s="113" t="n">
        <x:f>IF(A7="","",IF(S7&lt;&gt;"",0,IF(I7&lt;&gt;"",I7-TODAY(),IF(R7&lt;&gt;"",R7-TODAY(),""))))</x:f>
        <x:v>0</x:v>
      </x:c>
      <x:c r="V7" s="113" t="n">
        <x:f>IF(A7="","",IF(S7&lt;&gt;"",MAX(0,S7-IF(I7&lt;&gt;"",I7,R7)),IF(OR(I7&lt;&gt;"",R7&lt;&gt;""),MAX(0,TODAY()-IF(I7&lt;&gt;"",I7,R7)),0)))</x:f>
        <x:v>0</x:v>
      </x:c>
      <x:c r="W7" s="95"/>
      <x:c r="X7" s="95" t="str">
        <x:v>DEMO-BE-001</x:v>
      </x:c>
      <x:c r="Y7" s="92" t="str">
        <x:v>R2026.07</x:v>
      </x:c>
      <x:c r="Z7" s="92" t="str">
        <x:v>Staging</x:v>
      </x:c>
      <x:c r="AA7" s="92" t="str">
        <x:v>Trung bình</x:v>
      </x:c>
      <x:c r="AB7" s="92" t="str">
        <x:v>QA</x:v>
      </x:c>
      <x:c r="AC7" s="113" t="n">
        <x:f>IF(A7="","",IF(P7="","",IF(S7&lt;&gt;"",S7-P7,TODAY()-P7)))</x:f>
        <x:v>7</x:v>
      </x:c>
    </x:row>
    <x:row r="8" ht="28" customHeight="1">
      <x:c r="A8" s="92" t="str">
        <x:v>DEMO-BE-003</x:v>
      </x:c>
      <x:c r="B8" s="95" t="str">
        <x:v>API tổng hợp tiến độ học</x:v>
      </x:c>
      <x:c r="C8" s="92" t="str">
        <x:v>Code Review</x:v>
      </x:c>
      <x:c r="D8" s="92" t="str">
        <x:v>P2 - Medium</x:v>
      </x:c>
      <x:c r="E8" s="92" t="str">
        <x:v>Lê Chi</x:v>
      </x:c>
      <x:c r="F8" s="92" t="str">
        <x:v>Sprint 24</x:v>
      </x:c>
      <x:c r="G8" s="92" t="str">
        <x:v>Task</x:v>
      </x:c>
      <x:c r="H8" s="92" t="str">
        <x:v>Reporting</x:v>
      </x:c>
      <x:c r="I8" s="101" t="n">
        <x:v>46226</x:v>
      </x:c>
      <x:c r="J8" s="107" t="n">
        <x:v>5</x:v>
      </x:c>
      <x:c r="K8" s="110" t="n">
        <x:f>IF(A8="","",IFERROR(VLOOKUP(C8,'Cấu hình'!$A$12:$D$19,2,FALSE),0))</x:f>
        <x:v>0.75</x:v>
      </x:c>
      <x:c r="L8" s="92" t="str">
        <x:v>Không</x:v>
      </x:c>
      <x:c r="M8" s="92" t="str">
        <x:v>reporting</x:v>
      </x:c>
      <x:c r="N8" s="95" t="str">
        <x:v>P95 &lt; 500ms với dữ liệu kiểm thử; schema được tài liệu hóa.</x:v>
      </x:c>
      <x:c r="O8" s="101" t="n">
        <x:v>46222</x:v>
      </x:c>
      <x:c r="P8" s="101" t="n">
        <x:v>46217</x:v>
      </x:c>
      <x:c r="Q8" s="101" t="n">
        <x:v>46219</x:v>
      </x:c>
      <x:c r="R8" s="104" t="n">
        <x:f>IF(OR(P8="",D8=""),"",P8+IFERROR(VLOOKUP(D8,'Cấu hình'!$E$12:$G$15,3,FALSE),0))</x:f>
        <x:v>46222</x:v>
      </x:c>
      <x:c r="S8" s="101"/>
      <x:c r="T8" s="107" t="n">
        <x:v>4</x:v>
      </x:c>
      <x:c r="U8" s="113" t="n">
        <x:f>IF(A8="","",IF(S8&lt;&gt;"",0,IF(I8&lt;&gt;"",I8-TODAY(),IF(R8&lt;&gt;"",R8-TODAY(),""))))</x:f>
        <x:v>3</x:v>
      </x:c>
      <x:c r="V8" s="113" t="n">
        <x:f>IF(A8="","",IF(S8&lt;&gt;"",MAX(0,S8-IF(I8&lt;&gt;"",I8,R8)),IF(OR(I8&lt;&gt;"",R8&lt;&gt;""),MAX(0,TODAY()-IF(I8&lt;&gt;"",I8,R8)),0)))</x:f>
        <x:v>0</x:v>
      </x:c>
      <x:c r="W8" s="95"/>
      <x:c r="X8" s="95"/>
      <x:c r="Y8" s="92" t="str">
        <x:v>R2026.08</x:v>
      </x:c>
      <x:c r="Z8" s="92" t="str">
        <x:v>Dev</x:v>
      </x:c>
      <x:c r="AA8" s="92" t="str">
        <x:v>Thấp</x:v>
      </x:c>
      <x:c r="AB8" s="92" t="str">
        <x:v>PO</x:v>
      </x:c>
      <x:c r="AC8" s="113" t="n">
        <x:f>IF(A8="","",IF(P8="","",IF(S8&lt;&gt;"",S8-P8,TODAY()-P8)))</x:f>
        <x:v>6</x:v>
      </x:c>
    </x:row>
    <x:row r="9" ht="28" customHeight="1">
      <x:c r="A9" s="92" t="str">
        <x:v>DEMO-BE-004</x:v>
      </x:c>
      <x:c r="B9" s="95" t="str">
        <x:v>Chuẩn hóa retry queue</x:v>
      </x:c>
      <x:c r="C9" s="92" t="str">
        <x:v>Blocked</x:v>
      </x:c>
      <x:c r="D9" s="92" t="str">
        <x:v>P2 - Medium</x:v>
      </x:c>
      <x:c r="E9" s="92" t="str">
        <x:v>Phạm Dũng</x:v>
      </x:c>
      <x:c r="F9" s="92" t="str">
        <x:v>Sprint 24</x:v>
      </x:c>
      <x:c r="G9" s="92" t="str">
        <x:v>Tech debt</x:v>
      </x:c>
      <x:c r="H9" s="92" t="str">
        <x:v>Notification</x:v>
      </x:c>
      <x:c r="I9" s="101" t="n">
        <x:v>46227</x:v>
      </x:c>
      <x:c r="J9" s="107" t="n">
        <x:v>8</x:v>
      </x:c>
      <x:c r="K9" s="110" t="n">
        <x:f>IF(A9="","",IFERROR(VLOOKUP(C9,'Cấu hình'!$A$12:$D$19,2,FALSE),0))</x:f>
        <x:v>0.5</x:v>
      </x:c>
      <x:c r="L9" s="92" t="str">
        <x:v>Có</x:v>
      </x:c>
      <x:c r="M9" s="92" t="str">
        <x:v>queue</x:v>
      </x:c>
      <x:c r="N9" s="95" t="str">
        <x:v>Có exponential backoff; dead-letter queue có metric.</x:v>
      </x:c>
      <x:c r="O9" s="101" t="n">
        <x:v>46221</x:v>
      </x:c>
      <x:c r="P9" s="101" t="n">
        <x:v>46218</x:v>
      </x:c>
      <x:c r="Q9" s="101" t="n">
        <x:v>46220</x:v>
      </x:c>
      <x:c r="R9" s="104" t="n">
        <x:f>IF(OR(P9="",D9=""),"",P9+IFERROR(VLOOKUP(D9,'Cấu hình'!$E$12:$G$15,3,FALSE),0))</x:f>
        <x:v>46223</x:v>
      </x:c>
      <x:c r="S9" s="101"/>
      <x:c r="T9" s="107" t="n">
        <x:v>3</x:v>
      </x:c>
      <x:c r="U9" s="113" t="n">
        <x:f>IF(A9="","",IF(S9&lt;&gt;"",0,IF(I9&lt;&gt;"",I9-TODAY(),IF(R9&lt;&gt;"",R9-TODAY(),""))))</x:f>
        <x:v>4</x:v>
      </x:c>
      <x:c r="V9" s="113" t="n">
        <x:f>IF(A9="","",IF(S9&lt;&gt;"",MAX(0,S9-IF(I9&lt;&gt;"",I9,R9)),IF(OR(I9&lt;&gt;"",R9&lt;&gt;""),MAX(0,TODAY()-IF(I9&lt;&gt;"",I9,R9)),0)))</x:f>
        <x:v>0</x:v>
      </x:c>
      <x:c r="W9" s="95" t="str">
        <x:v>Chờ quyền truy cập message broker</x:v>
      </x:c>
      <x:c r="X9" s="95" t="str">
        <x:v>OPS-014</x:v>
      </x:c>
      <x:c r="Y9" s="92" t="str">
        <x:v>R2026.08</x:v>
      </x:c>
      <x:c r="Z9" s="92" t="str">
        <x:v>Dev</x:v>
      </x:c>
      <x:c r="AA9" s="92" t="str">
        <x:v>Cao</x:v>
      </x:c>
      <x:c r="AB9" s="92" t="str">
        <x:v>PO</x:v>
      </x:c>
      <x:c r="AC9" s="113" t="n">
        <x:f>IF(A9="","",IF(P9="","",IF(S9&lt;&gt;"",S9-P9,TODAY()-P9)))</x:f>
        <x:v>5</x:v>
      </x:c>
    </x:row>
    <x:row r="10" ht="28" customHeight="1">
      <x:c r="A10" s="92" t="str">
        <x:v>DEMO-BE-005</x:v>
      </x:c>
      <x:c r="B10" s="95" t="str">
        <x:v>API cập nhật hồ sơ</x:v>
      </x:c>
      <x:c r="C10" s="92" t="str">
        <x:v>Ready</x:v>
      </x:c>
      <x:c r="D10" s="92" t="str">
        <x:v>P3 - Low</x:v>
      </x:c>
      <x:c r="E10" s="92" t="str">
        <x:v>Nguyễn An</x:v>
      </x:c>
      <x:c r="F10" s="92" t="str">
        <x:v>Sprint 24</x:v>
      </x:c>
      <x:c r="G10" s="92" t="str">
        <x:v>Story</x:v>
      </x:c>
      <x:c r="H10" s="92" t="str">
        <x:v>Profile</x:v>
      </x:c>
      <x:c r="I10" s="101" t="n">
        <x:v>46229</x:v>
      </x:c>
      <x:c r="J10" s="107" t="n">
        <x:v>3</x:v>
      </x:c>
      <x:c r="K10" s="110" t="n">
        <x:f>IF(A10="","",IFERROR(VLOOKUP(C10,'Cấu hình'!$A$12:$D$19,2,FALSE),0))</x:f>
        <x:v>0.1</x:v>
      </x:c>
      <x:c r="L10" s="92" t="str">
        <x:v>Không</x:v>
      </x:c>
      <x:c r="M10" s="92" t="str">
        <x:v>profile</x:v>
      </x:c>
      <x:c r="N10" s="95" t="str">
        <x:v>Validate dữ liệu; audit updated_by; test 400/403/200.</x:v>
      </x:c>
      <x:c r="O10" s="101" t="n">
        <x:v>46220</x:v>
      </x:c>
      <x:c r="P10" s="101" t="n">
        <x:v>46219</x:v>
      </x:c>
      <x:c r="Q10" s="101"/>
      <x:c r="R10" s="104" t="n">
        <x:f>IF(OR(P10="",D10=""),"",P10+IFERROR(VLOOKUP(D10,'Cấu hình'!$E$12:$G$15,3,FALSE),0))</x:f>
        <x:v>46229</x:v>
      </x:c>
      <x:c r="S10" s="101"/>
      <x:c r="T10" s="107"/>
      <x:c r="U10" s="113" t="n">
        <x:f>IF(A10="","",IF(S10&lt;&gt;"",0,IF(I10&lt;&gt;"",I10-TODAY(),IF(R10&lt;&gt;"",R10-TODAY(),""))))</x:f>
        <x:v>6</x:v>
      </x:c>
      <x:c r="V10" s="113" t="n">
        <x:f>IF(A10="","",IF(S10&lt;&gt;"",MAX(0,S10-IF(I10&lt;&gt;"",I10,R10)),IF(OR(I10&lt;&gt;"",R10&lt;&gt;""),MAX(0,TODAY()-IF(I10&lt;&gt;"",I10,R10)),0)))</x:f>
        <x:v>0</x:v>
      </x:c>
      <x:c r="W10" s="95"/>
      <x:c r="X10" s="95"/>
      <x:c r="Y10" s="92" t="str">
        <x:v>R2026.08</x:v>
      </x:c>
      <x:c r="Z10" s="92" t="str">
        <x:v>Dev</x:v>
      </x:c>
      <x:c r="AA10" s="92" t="str">
        <x:v>Thấp</x:v>
      </x:c>
      <x:c r="AB10" s="92" t="str">
        <x:v>PO</x:v>
      </x:c>
      <x:c r="AC10" s="113" t="n">
        <x:f>IF(A10="","",IF(P10="","",IF(S10&lt;&gt;"",S10-P10,TODAY()-P10)))</x:f>
        <x:v>4</x:v>
      </x:c>
    </x:row>
    <x:row r="11" ht="28" customHeight="1">
      <x:c r="A11" s="92" t="str">
        <x:v>DEMO-BE-006</x:v>
      </x:c>
      <x:c r="B11" s="95" t="str">
        <x:v>Bổ sung tracing cho payment webhook</x:v>
      </x:c>
      <x:c r="C11" s="92" t="str">
        <x:v>Done</x:v>
      </x:c>
      <x:c r="D11" s="92" t="str">
        <x:v>P1 - High</x:v>
      </x:c>
      <x:c r="E11" s="92" t="str">
        <x:v>Trần Bình</x:v>
      </x:c>
      <x:c r="F11" s="92" t="str">
        <x:v>Sprint 24</x:v>
      </x:c>
      <x:c r="G11" s="92" t="str">
        <x:v>Task</x:v>
      </x:c>
      <x:c r="H11" s="92" t="str">
        <x:v>Observability</x:v>
      </x:c>
      <x:c r="I11" s="101" t="n">
        <x:v>46221</x:v>
      </x:c>
      <x:c r="J11" s="107" t="n">
        <x:v>5</x:v>
      </x:c>
      <x:c r="K11" s="110" t="n">
        <x:f>IF(A11="","",IFERROR(VLOOKUP(C11,'Cấu hình'!$A$12:$D$19,2,FALSE),0))</x:f>
        <x:v>1</x:v>
      </x:c>
      <x:c r="L11" s="92" t="str">
        <x:v>Không</x:v>
      </x:c>
      <x:c r="M11" s="92" t="str">
        <x:v>observability</x:v>
      </x:c>
      <x:c r="N11" s="95" t="str">
        <x:v>Trace ID xuyên suốt; cảnh báo khi error rate vượt ngưỡng.</x:v>
      </x:c>
      <x:c r="O11" s="101" t="n">
        <x:v>46221</x:v>
      </x:c>
      <x:c r="P11" s="101" t="n">
        <x:v>46213</x:v>
      </x:c>
      <x:c r="Q11" s="101" t="n">
        <x:v>46214</x:v>
      </x:c>
      <x:c r="R11" s="104" t="n">
        <x:f>IF(OR(P11="",D11=""),"",P11+IFERROR(VLOOKUP(D11,'Cấu hình'!$E$12:$G$15,3,FALSE),0))</x:f>
        <x:v>46216</x:v>
      </x:c>
      <x:c r="S11" s="101" t="n">
        <x:v>46221</x:v>
      </x:c>
      <x:c r="T11" s="107" t="n">
        <x:v>7</x:v>
      </x:c>
      <x:c r="U11" s="113" t="n">
        <x:f>IF(A11="","",IF(S11&lt;&gt;"",0,IF(I11&lt;&gt;"",I11-TODAY(),IF(R11&lt;&gt;"",R11-TODAY(),""))))</x:f>
        <x:v>0</x:v>
      </x:c>
      <x:c r="V11" s="113" t="n">
        <x:f>IF(A11="","",IF(S11&lt;&gt;"",MAX(0,S11-IF(I11&lt;&gt;"",I11,R11)),IF(OR(I11&lt;&gt;"",R11&lt;&gt;""),MAX(0,TODAY()-IF(I11&lt;&gt;"",I11,R11)),0)))</x:f>
        <x:v>0</x:v>
      </x:c>
      <x:c r="W11" s="95"/>
      <x:c r="X11" s="95"/>
      <x:c r="Y11" s="92" t="str">
        <x:v>R2026.07</x:v>
      </x:c>
      <x:c r="Z11" s="92" t="str">
        <x:v>Production</x:v>
      </x:c>
      <x:c r="AA11" s="92" t="str">
        <x:v>Trung bình</x:v>
      </x:c>
      <x:c r="AB11" s="92" t="str">
        <x:v>PO</x:v>
      </x:c>
      <x:c r="AC11" s="113" t="n">
        <x:f>IF(A11="","",IF(P11="","",IF(S11&lt;&gt;"",S11-P11,TODAY()-P11)))</x:f>
        <x:v>8</x:v>
      </x:c>
    </x:row>
    <x:row r="12" ht="28" customHeight="1">
      <x:c r="A12" s="92"/>
      <x:c r="B12" s="95"/>
      <x:c r="C12" s="92"/>
      <x:c r="D12" s="92"/>
      <x:c r="E12" s="92"/>
      <x:c r="F12" s="92"/>
      <x:c r="G12" s="92"/>
      <x:c r="H12" s="92"/>
      <x:c r="I12" s="101"/>
      <x:c r="J12" s="107"/>
      <x:c r="K12" s="110" t="str">
        <x:f>IF(A12="","",IFERROR(VLOOKUP(C12,'Cấu hình'!$A$12:$D$19,2,FALSE),0))</x:f>
      </x:c>
      <x:c r="L12" s="92"/>
      <x:c r="M12" s="92"/>
      <x:c r="N12" s="95"/>
      <x:c r="O12" s="101"/>
      <x:c r="P12" s="101"/>
      <x:c r="Q12" s="101"/>
      <x:c r="R12" s="104" t="str">
        <x:f>IF(OR(P12="",D12=""),"",P12+IFERROR(VLOOKUP(D12,'Cấu hình'!$E$12:$G$15,3,FALSE),0))</x:f>
      </x:c>
      <x:c r="S12" s="101"/>
      <x:c r="T12" s="107"/>
      <x:c r="U12" s="113" t="str">
        <x:f>IF(A12="","",IF(S12&lt;&gt;"",0,IF(I12&lt;&gt;"",I12-TODAY(),IF(R12&lt;&gt;"",R12-TODAY(),""))))</x:f>
      </x:c>
      <x:c r="V12" s="113" t="str">
        <x:f>IF(A12="","",IF(S12&lt;&gt;"",MAX(0,S12-IF(I12&lt;&gt;"",I12,R12)),IF(OR(I12&lt;&gt;"",R12&lt;&gt;""),MAX(0,TODAY()-IF(I12&lt;&gt;"",I12,R12)),0)))</x:f>
      </x:c>
      <x:c r="W12" s="95"/>
      <x:c r="X12" s="95"/>
      <x:c r="Y12" s="92"/>
      <x:c r="Z12" s="92"/>
      <x:c r="AA12" s="92"/>
      <x:c r="AB12" s="92"/>
      <x:c r="AC12" s="113" t="str">
        <x:f>IF(A12="","",IF(P12="","",IF(S12&lt;&gt;"",S12-P12,TODAY()-P12)))</x:f>
      </x:c>
    </x:row>
    <x:row r="13" ht="28" customHeight="1">
      <x:c r="A13" s="92"/>
      <x:c r="B13" s="95"/>
      <x:c r="C13" s="92"/>
      <x:c r="D13" s="92"/>
      <x:c r="E13" s="92"/>
      <x:c r="F13" s="92"/>
      <x:c r="G13" s="92"/>
      <x:c r="H13" s="92"/>
      <x:c r="I13" s="101"/>
      <x:c r="J13" s="107"/>
      <x:c r="K13" s="110" t="str">
        <x:f>IF(A13="","",IFERROR(VLOOKUP(C13,'Cấu hình'!$A$12:$D$19,2,FALSE),0))</x:f>
      </x:c>
      <x:c r="L13" s="92"/>
      <x:c r="M13" s="92"/>
      <x:c r="N13" s="95"/>
      <x:c r="O13" s="101"/>
      <x:c r="P13" s="101"/>
      <x:c r="Q13" s="101"/>
      <x:c r="R13" s="104" t="str">
        <x:f>IF(OR(P13="",D13=""),"",P13+IFERROR(VLOOKUP(D13,'Cấu hình'!$E$12:$G$15,3,FALSE),0))</x:f>
      </x:c>
      <x:c r="S13" s="101"/>
      <x:c r="T13" s="107"/>
      <x:c r="U13" s="113" t="str">
        <x:f>IF(A13="","",IF(S13&lt;&gt;"",0,IF(I13&lt;&gt;"",I13-TODAY(),IF(R13&lt;&gt;"",R13-TODAY(),""))))</x:f>
      </x:c>
      <x:c r="V13" s="113" t="str">
        <x:f>IF(A13="","",IF(S13&lt;&gt;"",MAX(0,S13-IF(I13&lt;&gt;"",I13,R13)),IF(OR(I13&lt;&gt;"",R13&lt;&gt;""),MAX(0,TODAY()-IF(I13&lt;&gt;"",I13,R13)),0)))</x:f>
      </x:c>
      <x:c r="W13" s="95"/>
      <x:c r="X13" s="95"/>
      <x:c r="Y13" s="92"/>
      <x:c r="Z13" s="92"/>
      <x:c r="AA13" s="92"/>
      <x:c r="AB13" s="92"/>
      <x:c r="AC13" s="113" t="str">
        <x:f>IF(A13="","",IF(P13="","",IF(S13&lt;&gt;"",S13-P13,TODAY()-P13)))</x:f>
      </x:c>
    </x:row>
    <x:row r="14" ht="28" customHeight="1">
      <x:c r="A14" s="92"/>
      <x:c r="B14" s="95"/>
      <x:c r="C14" s="92"/>
      <x:c r="D14" s="92"/>
      <x:c r="E14" s="92"/>
      <x:c r="F14" s="92"/>
      <x:c r="G14" s="92"/>
      <x:c r="H14" s="92"/>
      <x:c r="I14" s="101"/>
      <x:c r="J14" s="107"/>
      <x:c r="K14" s="110" t="str">
        <x:f>IF(A14="","",IFERROR(VLOOKUP(C14,'Cấu hình'!$A$12:$D$19,2,FALSE),0))</x:f>
      </x:c>
      <x:c r="L14" s="92"/>
      <x:c r="M14" s="92"/>
      <x:c r="N14" s="95"/>
      <x:c r="O14" s="101"/>
      <x:c r="P14" s="101"/>
      <x:c r="Q14" s="101"/>
      <x:c r="R14" s="104" t="str">
        <x:f>IF(OR(P14="",D14=""),"",P14+IFERROR(VLOOKUP(D14,'Cấu hình'!$E$12:$G$15,3,FALSE),0))</x:f>
      </x:c>
      <x:c r="S14" s="101"/>
      <x:c r="T14" s="107"/>
      <x:c r="U14" s="113" t="str">
        <x:f>IF(A14="","",IF(S14&lt;&gt;"",0,IF(I14&lt;&gt;"",I14-TODAY(),IF(R14&lt;&gt;"",R14-TODAY(),""))))</x:f>
      </x:c>
      <x:c r="V14" s="113" t="str">
        <x:f>IF(A14="","",IF(S14&lt;&gt;"",MAX(0,S14-IF(I14&lt;&gt;"",I14,R14)),IF(OR(I14&lt;&gt;"",R14&lt;&gt;""),MAX(0,TODAY()-IF(I14&lt;&gt;"",I14,R14)),0)))</x:f>
      </x:c>
      <x:c r="W14" s="95"/>
      <x:c r="X14" s="95"/>
      <x:c r="Y14" s="92"/>
      <x:c r="Z14" s="92"/>
      <x:c r="AA14" s="92"/>
      <x:c r="AB14" s="92"/>
      <x:c r="AC14" s="113" t="str">
        <x:f>IF(A14="","",IF(P14="","",IF(S14&lt;&gt;"",S14-P14,TODAY()-P14)))</x:f>
      </x:c>
    </x:row>
    <x:row r="15" ht="28" customHeight="1">
      <x:c r="A15" s="92"/>
      <x:c r="B15" s="95"/>
      <x:c r="C15" s="92"/>
      <x:c r="D15" s="92"/>
      <x:c r="E15" s="92"/>
      <x:c r="F15" s="92"/>
      <x:c r="G15" s="92"/>
      <x:c r="H15" s="92"/>
      <x:c r="I15" s="101"/>
      <x:c r="J15" s="107"/>
      <x:c r="K15" s="110" t="str">
        <x:f>IF(A15="","",IFERROR(VLOOKUP(C15,'Cấu hình'!$A$12:$D$19,2,FALSE),0))</x:f>
      </x:c>
      <x:c r="L15" s="92"/>
      <x:c r="M15" s="92"/>
      <x:c r="N15" s="95"/>
      <x:c r="O15" s="101"/>
      <x:c r="P15" s="101"/>
      <x:c r="Q15" s="101"/>
      <x:c r="R15" s="104" t="str">
        <x:f>IF(OR(P15="",D15=""),"",P15+IFERROR(VLOOKUP(D15,'Cấu hình'!$E$12:$G$15,3,FALSE),0))</x:f>
      </x:c>
      <x:c r="S15" s="101"/>
      <x:c r="T15" s="107"/>
      <x:c r="U15" s="113" t="str">
        <x:f>IF(A15="","",IF(S15&lt;&gt;"",0,IF(I15&lt;&gt;"",I15-TODAY(),IF(R15&lt;&gt;"",R15-TODAY(),""))))</x:f>
      </x:c>
      <x:c r="V15" s="113" t="str">
        <x:f>IF(A15="","",IF(S15&lt;&gt;"",MAX(0,S15-IF(I15&lt;&gt;"",I15,R15)),IF(OR(I15&lt;&gt;"",R15&lt;&gt;""),MAX(0,TODAY()-IF(I15&lt;&gt;"",I15,R15)),0)))</x:f>
      </x:c>
      <x:c r="W15" s="95"/>
      <x:c r="X15" s="95"/>
      <x:c r="Y15" s="92"/>
      <x:c r="Z15" s="92"/>
      <x:c r="AA15" s="92"/>
      <x:c r="AB15" s="92"/>
      <x:c r="AC15" s="113" t="str">
        <x:f>IF(A15="","",IF(P15="","",IF(S15&lt;&gt;"",S15-P15,TODAY()-P15)))</x:f>
      </x:c>
    </x:row>
    <x:row r="16" ht="28" customHeight="1">
      <x:c r="A16" s="92"/>
      <x:c r="B16" s="95"/>
      <x:c r="C16" s="92"/>
      <x:c r="D16" s="92"/>
      <x:c r="E16" s="92"/>
      <x:c r="F16" s="92"/>
      <x:c r="G16" s="92"/>
      <x:c r="H16" s="92"/>
      <x:c r="I16" s="101"/>
      <x:c r="J16" s="107"/>
      <x:c r="K16" s="110" t="str">
        <x:f>IF(A16="","",IFERROR(VLOOKUP(C16,'Cấu hình'!$A$12:$D$19,2,FALSE),0))</x:f>
      </x:c>
      <x:c r="L16" s="92"/>
      <x:c r="M16" s="92"/>
      <x:c r="N16" s="95"/>
      <x:c r="O16" s="101"/>
      <x:c r="P16" s="101"/>
      <x:c r="Q16" s="101"/>
      <x:c r="R16" s="104" t="str">
        <x:f>IF(OR(P16="",D16=""),"",P16+IFERROR(VLOOKUP(D16,'Cấu hình'!$E$12:$G$15,3,FALSE),0))</x:f>
      </x:c>
      <x:c r="S16" s="101"/>
      <x:c r="T16" s="107"/>
      <x:c r="U16" s="113" t="str">
        <x:f>IF(A16="","",IF(S16&lt;&gt;"",0,IF(I16&lt;&gt;"",I16-TODAY(),IF(R16&lt;&gt;"",R16-TODAY(),""))))</x:f>
      </x:c>
      <x:c r="V16" s="113" t="str">
        <x:f>IF(A16="","",IF(S16&lt;&gt;"",MAX(0,S16-IF(I16&lt;&gt;"",I16,R16)),IF(OR(I16&lt;&gt;"",R16&lt;&gt;""),MAX(0,TODAY()-IF(I16&lt;&gt;"",I16,R16)),0)))</x:f>
      </x:c>
      <x:c r="W16" s="95"/>
      <x:c r="X16" s="95"/>
      <x:c r="Y16" s="92"/>
      <x:c r="Z16" s="92"/>
      <x:c r="AA16" s="92"/>
      <x:c r="AB16" s="92"/>
      <x:c r="AC16" s="113" t="str">
        <x:f>IF(A16="","",IF(P16="","",IF(S16&lt;&gt;"",S16-P16,TODAY()-P16)))</x:f>
      </x:c>
    </x:row>
    <x:row r="17" ht="28" customHeight="1">
      <x:c r="A17" s="92"/>
      <x:c r="B17" s="95"/>
      <x:c r="C17" s="92"/>
      <x:c r="D17" s="92"/>
      <x:c r="E17" s="92"/>
      <x:c r="F17" s="92"/>
      <x:c r="G17" s="92"/>
      <x:c r="H17" s="92"/>
      <x:c r="I17" s="101"/>
      <x:c r="J17" s="107"/>
      <x:c r="K17" s="110" t="str">
        <x:f>IF(A17="","",IFERROR(VLOOKUP(C17,'Cấu hình'!$A$12:$D$19,2,FALSE),0))</x:f>
      </x:c>
      <x:c r="L17" s="92"/>
      <x:c r="M17" s="92"/>
      <x:c r="N17" s="95"/>
      <x:c r="O17" s="101"/>
      <x:c r="P17" s="101"/>
      <x:c r="Q17" s="101"/>
      <x:c r="R17" s="104" t="str">
        <x:f>IF(OR(P17="",D17=""),"",P17+IFERROR(VLOOKUP(D17,'Cấu hình'!$E$12:$G$15,3,FALSE),0))</x:f>
      </x:c>
      <x:c r="S17" s="101"/>
      <x:c r="T17" s="107"/>
      <x:c r="U17" s="113" t="str">
        <x:f>IF(A17="","",IF(S17&lt;&gt;"",0,IF(I17&lt;&gt;"",I17-TODAY(),IF(R17&lt;&gt;"",R17-TODAY(),""))))</x:f>
      </x:c>
      <x:c r="V17" s="113" t="str">
        <x:f>IF(A17="","",IF(S17&lt;&gt;"",MAX(0,S17-IF(I17&lt;&gt;"",I17,R17)),IF(OR(I17&lt;&gt;"",R17&lt;&gt;""),MAX(0,TODAY()-IF(I17&lt;&gt;"",I17,R17)),0)))</x:f>
      </x:c>
      <x:c r="W17" s="95"/>
      <x:c r="X17" s="95"/>
      <x:c r="Y17" s="92"/>
      <x:c r="Z17" s="92"/>
      <x:c r="AA17" s="92"/>
      <x:c r="AB17" s="92"/>
      <x:c r="AC17" s="113" t="str">
        <x:f>IF(A17="","",IF(P17="","",IF(S17&lt;&gt;"",S17-P17,TODAY()-P17)))</x:f>
      </x:c>
    </x:row>
    <x:row r="18" ht="28" customHeight="1">
      <x:c r="A18" s="92"/>
      <x:c r="B18" s="95"/>
      <x:c r="C18" s="92"/>
      <x:c r="D18" s="92"/>
      <x:c r="E18" s="92"/>
      <x:c r="F18" s="92"/>
      <x:c r="G18" s="92"/>
      <x:c r="H18" s="92"/>
      <x:c r="I18" s="101"/>
      <x:c r="J18" s="107"/>
      <x:c r="K18" s="110" t="str">
        <x:f>IF(A18="","",IFERROR(VLOOKUP(C18,'Cấu hình'!$A$12:$D$19,2,FALSE),0))</x:f>
      </x:c>
      <x:c r="L18" s="92"/>
      <x:c r="M18" s="92"/>
      <x:c r="N18" s="95"/>
      <x:c r="O18" s="101"/>
      <x:c r="P18" s="101"/>
      <x:c r="Q18" s="101"/>
      <x:c r="R18" s="104" t="str">
        <x:f>IF(OR(P18="",D18=""),"",P18+IFERROR(VLOOKUP(D18,'Cấu hình'!$E$12:$G$15,3,FALSE),0))</x:f>
      </x:c>
      <x:c r="S18" s="101"/>
      <x:c r="T18" s="107"/>
      <x:c r="U18" s="113" t="str">
        <x:f>IF(A18="","",IF(S18&lt;&gt;"",0,IF(I18&lt;&gt;"",I18-TODAY(),IF(R18&lt;&gt;"",R18-TODAY(),""))))</x:f>
      </x:c>
      <x:c r="V18" s="113" t="str">
        <x:f>IF(A18="","",IF(S18&lt;&gt;"",MAX(0,S18-IF(I18&lt;&gt;"",I18,R18)),IF(OR(I18&lt;&gt;"",R18&lt;&gt;""),MAX(0,TODAY()-IF(I18&lt;&gt;"",I18,R18)),0)))</x:f>
      </x:c>
      <x:c r="W18" s="95"/>
      <x:c r="X18" s="95"/>
      <x:c r="Y18" s="92"/>
      <x:c r="Z18" s="92"/>
      <x:c r="AA18" s="92"/>
      <x:c r="AB18" s="92"/>
      <x:c r="AC18" s="113" t="str">
        <x:f>IF(A18="","",IF(P18="","",IF(S18&lt;&gt;"",S18-P18,TODAY()-P18)))</x:f>
      </x:c>
    </x:row>
    <x:row r="19" ht="28" customHeight="1">
      <x:c r="A19" s="92"/>
      <x:c r="B19" s="95"/>
      <x:c r="C19" s="92"/>
      <x:c r="D19" s="92"/>
      <x:c r="E19" s="92"/>
      <x:c r="F19" s="92"/>
      <x:c r="G19" s="92"/>
      <x:c r="H19" s="92"/>
      <x:c r="I19" s="101"/>
      <x:c r="J19" s="107"/>
      <x:c r="K19" s="110" t="str">
        <x:f>IF(A19="","",IFERROR(VLOOKUP(C19,'Cấu hình'!$A$12:$D$19,2,FALSE),0))</x:f>
      </x:c>
      <x:c r="L19" s="92"/>
      <x:c r="M19" s="92"/>
      <x:c r="N19" s="95"/>
      <x:c r="O19" s="101"/>
      <x:c r="P19" s="101"/>
      <x:c r="Q19" s="101"/>
      <x:c r="R19" s="104" t="str">
        <x:f>IF(OR(P19="",D19=""),"",P19+IFERROR(VLOOKUP(D19,'Cấu hình'!$E$12:$G$15,3,FALSE),0))</x:f>
      </x:c>
      <x:c r="S19" s="101"/>
      <x:c r="T19" s="107"/>
      <x:c r="U19" s="113" t="str">
        <x:f>IF(A19="","",IF(S19&lt;&gt;"",0,IF(I19&lt;&gt;"",I19-TODAY(),IF(R19&lt;&gt;"",R19-TODAY(),""))))</x:f>
      </x:c>
      <x:c r="V19" s="113" t="str">
        <x:f>IF(A19="","",IF(S19&lt;&gt;"",MAX(0,S19-IF(I19&lt;&gt;"",I19,R19)),IF(OR(I19&lt;&gt;"",R19&lt;&gt;""),MAX(0,TODAY()-IF(I19&lt;&gt;"",I19,R19)),0)))</x:f>
      </x:c>
      <x:c r="W19" s="95"/>
      <x:c r="X19" s="95"/>
      <x:c r="Y19" s="92"/>
      <x:c r="Z19" s="92"/>
      <x:c r="AA19" s="92"/>
      <x:c r="AB19" s="92"/>
      <x:c r="AC19" s="113" t="str">
        <x:f>IF(A19="","",IF(P19="","",IF(S19&lt;&gt;"",S19-P19,TODAY()-P19)))</x:f>
      </x:c>
    </x:row>
    <x:row r="20" ht="28" customHeight="1">
      <x:c r="A20" s="92"/>
      <x:c r="B20" s="95"/>
      <x:c r="C20" s="92"/>
      <x:c r="D20" s="92"/>
      <x:c r="E20" s="92"/>
      <x:c r="F20" s="92"/>
      <x:c r="G20" s="92"/>
      <x:c r="H20" s="92"/>
      <x:c r="I20" s="101"/>
      <x:c r="J20" s="107"/>
      <x:c r="K20" s="110" t="str">
        <x:f>IF(A20="","",IFERROR(VLOOKUP(C20,'Cấu hình'!$A$12:$D$19,2,FALSE),0))</x:f>
      </x:c>
      <x:c r="L20" s="92"/>
      <x:c r="M20" s="92"/>
      <x:c r="N20" s="95"/>
      <x:c r="O20" s="101"/>
      <x:c r="P20" s="101"/>
      <x:c r="Q20" s="101"/>
      <x:c r="R20" s="104" t="str">
        <x:f>IF(OR(P20="",D20=""),"",P20+IFERROR(VLOOKUP(D20,'Cấu hình'!$E$12:$G$15,3,FALSE),0))</x:f>
      </x:c>
      <x:c r="S20" s="101"/>
      <x:c r="T20" s="107"/>
      <x:c r="U20" s="113" t="str">
        <x:f>IF(A20="","",IF(S20&lt;&gt;"",0,IF(I20&lt;&gt;"",I20-TODAY(),IF(R20&lt;&gt;"",R20-TODAY(),""))))</x:f>
      </x:c>
      <x:c r="V20" s="113" t="str">
        <x:f>IF(A20="","",IF(S20&lt;&gt;"",MAX(0,S20-IF(I20&lt;&gt;"",I20,R20)),IF(OR(I20&lt;&gt;"",R20&lt;&gt;""),MAX(0,TODAY()-IF(I20&lt;&gt;"",I20,R20)),0)))</x:f>
      </x:c>
      <x:c r="W20" s="95"/>
      <x:c r="X20" s="95"/>
      <x:c r="Y20" s="92"/>
      <x:c r="Z20" s="92"/>
      <x:c r="AA20" s="92"/>
      <x:c r="AB20" s="92"/>
      <x:c r="AC20" s="113" t="str">
        <x:f>IF(A20="","",IF(P20="","",IF(S20&lt;&gt;"",S20-P20,TODAY()-P20)))</x:f>
      </x:c>
    </x:row>
    <x:row r="21" ht="28" customHeight="1">
      <x:c r="A21" s="92"/>
      <x:c r="B21" s="95"/>
      <x:c r="C21" s="92"/>
      <x:c r="D21" s="92"/>
      <x:c r="E21" s="92"/>
      <x:c r="F21" s="92"/>
      <x:c r="G21" s="92"/>
      <x:c r="H21" s="92"/>
      <x:c r="I21" s="101"/>
      <x:c r="J21" s="107"/>
      <x:c r="K21" s="110" t="str">
        <x:f>IF(A21="","",IFERROR(VLOOKUP(C21,'Cấu hình'!$A$12:$D$19,2,FALSE),0))</x:f>
      </x:c>
      <x:c r="L21" s="92"/>
      <x:c r="M21" s="92"/>
      <x:c r="N21" s="95"/>
      <x:c r="O21" s="101"/>
      <x:c r="P21" s="101"/>
      <x:c r="Q21" s="101"/>
      <x:c r="R21" s="104" t="str">
        <x:f>IF(OR(P21="",D21=""),"",P21+IFERROR(VLOOKUP(D21,'Cấu hình'!$E$12:$G$15,3,FALSE),0))</x:f>
      </x:c>
      <x:c r="S21" s="101"/>
      <x:c r="T21" s="107"/>
      <x:c r="U21" s="113" t="str">
        <x:f>IF(A21="","",IF(S21&lt;&gt;"",0,IF(I21&lt;&gt;"",I21-TODAY(),IF(R21&lt;&gt;"",R21-TODAY(),""))))</x:f>
      </x:c>
      <x:c r="V21" s="113" t="str">
        <x:f>IF(A21="","",IF(S21&lt;&gt;"",MAX(0,S21-IF(I21&lt;&gt;"",I21,R21)),IF(OR(I21&lt;&gt;"",R21&lt;&gt;""),MAX(0,TODAY()-IF(I21&lt;&gt;"",I21,R21)),0)))</x:f>
      </x:c>
      <x:c r="W21" s="95"/>
      <x:c r="X21" s="95"/>
      <x:c r="Y21" s="92"/>
      <x:c r="Z21" s="92"/>
      <x:c r="AA21" s="92"/>
      <x:c r="AB21" s="92"/>
      <x:c r="AC21" s="113" t="str">
        <x:f>IF(A21="","",IF(P21="","",IF(S21&lt;&gt;"",S21-P21,TODAY()-P21)))</x:f>
      </x:c>
    </x:row>
    <x:row r="22" ht="28" customHeight="1">
      <x:c r="A22" s="92"/>
      <x:c r="B22" s="95"/>
      <x:c r="C22" s="92"/>
      <x:c r="D22" s="92"/>
      <x:c r="E22" s="92"/>
      <x:c r="F22" s="92"/>
      <x:c r="G22" s="92"/>
      <x:c r="H22" s="92"/>
      <x:c r="I22" s="101"/>
      <x:c r="J22" s="107"/>
      <x:c r="K22" s="110" t="str">
        <x:f>IF(A22="","",IFERROR(VLOOKUP(C22,'Cấu hình'!$A$12:$D$19,2,FALSE),0))</x:f>
      </x:c>
      <x:c r="L22" s="92"/>
      <x:c r="M22" s="92"/>
      <x:c r="N22" s="95"/>
      <x:c r="O22" s="101"/>
      <x:c r="P22" s="101"/>
      <x:c r="Q22" s="101"/>
      <x:c r="R22" s="104" t="str">
        <x:f>IF(OR(P22="",D22=""),"",P22+IFERROR(VLOOKUP(D22,'Cấu hình'!$E$12:$G$15,3,FALSE),0))</x:f>
      </x:c>
      <x:c r="S22" s="101"/>
      <x:c r="T22" s="107"/>
      <x:c r="U22" s="113" t="str">
        <x:f>IF(A22="","",IF(S22&lt;&gt;"",0,IF(I22&lt;&gt;"",I22-TODAY(),IF(R22&lt;&gt;"",R22-TODAY(),""))))</x:f>
      </x:c>
      <x:c r="V22" s="113" t="str">
        <x:f>IF(A22="","",IF(S22&lt;&gt;"",MAX(0,S22-IF(I22&lt;&gt;"",I22,R22)),IF(OR(I22&lt;&gt;"",R22&lt;&gt;""),MAX(0,TODAY()-IF(I22&lt;&gt;"",I22,R22)),0)))</x:f>
      </x:c>
      <x:c r="W22" s="95"/>
      <x:c r="X22" s="95"/>
      <x:c r="Y22" s="92"/>
      <x:c r="Z22" s="92"/>
      <x:c r="AA22" s="92"/>
      <x:c r="AB22" s="92"/>
      <x:c r="AC22" s="113" t="str">
        <x:f>IF(A22="","",IF(P22="","",IF(S22&lt;&gt;"",S22-P22,TODAY()-P22)))</x:f>
      </x:c>
    </x:row>
    <x:row r="23" ht="28" customHeight="1">
      <x:c r="A23" s="92"/>
      <x:c r="B23" s="95"/>
      <x:c r="C23" s="92"/>
      <x:c r="D23" s="92"/>
      <x:c r="E23" s="92"/>
      <x:c r="F23" s="92"/>
      <x:c r="G23" s="92"/>
      <x:c r="H23" s="92"/>
      <x:c r="I23" s="101"/>
      <x:c r="J23" s="107"/>
      <x:c r="K23" s="110" t="str">
        <x:f>IF(A23="","",IFERROR(VLOOKUP(C23,'Cấu hình'!$A$12:$D$19,2,FALSE),0))</x:f>
      </x:c>
      <x:c r="L23" s="92"/>
      <x:c r="M23" s="92"/>
      <x:c r="N23" s="95"/>
      <x:c r="O23" s="101"/>
      <x:c r="P23" s="101"/>
      <x:c r="Q23" s="101"/>
      <x:c r="R23" s="104" t="str">
        <x:f>IF(OR(P23="",D23=""),"",P23+IFERROR(VLOOKUP(D23,'Cấu hình'!$E$12:$G$15,3,FALSE),0))</x:f>
      </x:c>
      <x:c r="S23" s="101"/>
      <x:c r="T23" s="107"/>
      <x:c r="U23" s="113" t="str">
        <x:f>IF(A23="","",IF(S23&lt;&gt;"",0,IF(I23&lt;&gt;"",I23-TODAY(),IF(R23&lt;&gt;"",R23-TODAY(),""))))</x:f>
      </x:c>
      <x:c r="V23" s="113" t="str">
        <x:f>IF(A23="","",IF(S23&lt;&gt;"",MAX(0,S23-IF(I23&lt;&gt;"",I23,R23)),IF(OR(I23&lt;&gt;"",R23&lt;&gt;""),MAX(0,TODAY()-IF(I23&lt;&gt;"",I23,R23)),0)))</x:f>
      </x:c>
      <x:c r="W23" s="95"/>
      <x:c r="X23" s="95"/>
      <x:c r="Y23" s="92"/>
      <x:c r="Z23" s="92"/>
      <x:c r="AA23" s="92"/>
      <x:c r="AB23" s="92"/>
      <x:c r="AC23" s="113" t="str">
        <x:f>IF(A23="","",IF(P23="","",IF(S23&lt;&gt;"",S23-P23,TODAY()-P23)))</x:f>
      </x:c>
    </x:row>
    <x:row r="24" ht="28" customHeight="1">
      <x:c r="A24" s="92"/>
      <x:c r="B24" s="95"/>
      <x:c r="C24" s="92"/>
      <x:c r="D24" s="92"/>
      <x:c r="E24" s="92"/>
      <x:c r="F24" s="92"/>
      <x:c r="G24" s="92"/>
      <x:c r="H24" s="92"/>
      <x:c r="I24" s="101"/>
      <x:c r="J24" s="107"/>
      <x:c r="K24" s="110" t="str">
        <x:f>IF(A24="","",IFERROR(VLOOKUP(C24,'Cấu hình'!$A$12:$D$19,2,FALSE),0))</x:f>
      </x:c>
      <x:c r="L24" s="92"/>
      <x:c r="M24" s="92"/>
      <x:c r="N24" s="95"/>
      <x:c r="O24" s="101"/>
      <x:c r="P24" s="101"/>
      <x:c r="Q24" s="101"/>
      <x:c r="R24" s="104" t="str">
        <x:f>IF(OR(P24="",D24=""),"",P24+IFERROR(VLOOKUP(D24,'Cấu hình'!$E$12:$G$15,3,FALSE),0))</x:f>
      </x:c>
      <x:c r="S24" s="101"/>
      <x:c r="T24" s="107"/>
      <x:c r="U24" s="113" t="str">
        <x:f>IF(A24="","",IF(S24&lt;&gt;"",0,IF(I24&lt;&gt;"",I24-TODAY(),IF(R24&lt;&gt;"",R24-TODAY(),""))))</x:f>
      </x:c>
      <x:c r="V24" s="113" t="str">
        <x:f>IF(A24="","",IF(S24&lt;&gt;"",MAX(0,S24-IF(I24&lt;&gt;"",I24,R24)),IF(OR(I24&lt;&gt;"",R24&lt;&gt;""),MAX(0,TODAY()-IF(I24&lt;&gt;"",I24,R24)),0)))</x:f>
      </x:c>
      <x:c r="W24" s="95"/>
      <x:c r="X24" s="95"/>
      <x:c r="Y24" s="92"/>
      <x:c r="Z24" s="92"/>
      <x:c r="AA24" s="92"/>
      <x:c r="AB24" s="92"/>
      <x:c r="AC24" s="113" t="str">
        <x:f>IF(A24="","",IF(P24="","",IF(S24&lt;&gt;"",S24-P24,TODAY()-P24)))</x:f>
      </x:c>
    </x:row>
    <x:row r="25" ht="28" customHeight="1">
      <x:c r="A25" s="92"/>
      <x:c r="B25" s="95"/>
      <x:c r="C25" s="92"/>
      <x:c r="D25" s="92"/>
      <x:c r="E25" s="92"/>
      <x:c r="F25" s="92"/>
      <x:c r="G25" s="92"/>
      <x:c r="H25" s="92"/>
      <x:c r="I25" s="101"/>
      <x:c r="J25" s="107"/>
      <x:c r="K25" s="110" t="str">
        <x:f>IF(A25="","",IFERROR(VLOOKUP(C25,'Cấu hình'!$A$12:$D$19,2,FALSE),0))</x:f>
      </x:c>
      <x:c r="L25" s="92"/>
      <x:c r="M25" s="92"/>
      <x:c r="N25" s="95"/>
      <x:c r="O25" s="101"/>
      <x:c r="P25" s="101"/>
      <x:c r="Q25" s="101"/>
      <x:c r="R25" s="104" t="str">
        <x:f>IF(OR(P25="",D25=""),"",P25+IFERROR(VLOOKUP(D25,'Cấu hình'!$E$12:$G$15,3,FALSE),0))</x:f>
      </x:c>
      <x:c r="S25" s="101"/>
      <x:c r="T25" s="107"/>
      <x:c r="U25" s="113" t="str">
        <x:f>IF(A25="","",IF(S25&lt;&gt;"",0,IF(I25&lt;&gt;"",I25-TODAY(),IF(R25&lt;&gt;"",R25-TODAY(),""))))</x:f>
      </x:c>
      <x:c r="V25" s="113" t="str">
        <x:f>IF(A25="","",IF(S25&lt;&gt;"",MAX(0,S25-IF(I25&lt;&gt;"",I25,R25)),IF(OR(I25&lt;&gt;"",R25&lt;&gt;""),MAX(0,TODAY()-IF(I25&lt;&gt;"",I25,R25)),0)))</x:f>
      </x:c>
      <x:c r="W25" s="95"/>
      <x:c r="X25" s="95"/>
      <x:c r="Y25" s="92"/>
      <x:c r="Z25" s="92"/>
      <x:c r="AA25" s="92"/>
      <x:c r="AB25" s="92"/>
      <x:c r="AC25" s="113" t="str">
        <x:f>IF(A25="","",IF(P25="","",IF(S25&lt;&gt;"",S25-P25,TODAY()-P25)))</x:f>
      </x:c>
    </x:row>
    <x:row r="26" ht="28" customHeight="1">
      <x:c r="A26" s="92"/>
      <x:c r="B26" s="95"/>
      <x:c r="C26" s="92"/>
      <x:c r="D26" s="92"/>
      <x:c r="E26" s="92"/>
      <x:c r="F26" s="92"/>
      <x:c r="G26" s="92"/>
      <x:c r="H26" s="92"/>
      <x:c r="I26" s="101"/>
      <x:c r="J26" s="107"/>
      <x:c r="K26" s="110" t="str">
        <x:f>IF(A26="","",IFERROR(VLOOKUP(C26,'Cấu hình'!$A$12:$D$19,2,FALSE),0))</x:f>
      </x:c>
      <x:c r="L26" s="92"/>
      <x:c r="M26" s="92"/>
      <x:c r="N26" s="95"/>
      <x:c r="O26" s="101"/>
      <x:c r="P26" s="101"/>
      <x:c r="Q26" s="101"/>
      <x:c r="R26" s="104" t="str">
        <x:f>IF(OR(P26="",D26=""),"",P26+IFERROR(VLOOKUP(D26,'Cấu hình'!$E$12:$G$15,3,FALSE),0))</x:f>
      </x:c>
      <x:c r="S26" s="101"/>
      <x:c r="T26" s="107"/>
      <x:c r="U26" s="113" t="str">
        <x:f>IF(A26="","",IF(S26&lt;&gt;"",0,IF(I26&lt;&gt;"",I26-TODAY(),IF(R26&lt;&gt;"",R26-TODAY(),""))))</x:f>
      </x:c>
      <x:c r="V26" s="113" t="str">
        <x:f>IF(A26="","",IF(S26&lt;&gt;"",MAX(0,S26-IF(I26&lt;&gt;"",I26,R26)),IF(OR(I26&lt;&gt;"",R26&lt;&gt;""),MAX(0,TODAY()-IF(I26&lt;&gt;"",I26,R26)),0)))</x:f>
      </x:c>
      <x:c r="W26" s="95"/>
      <x:c r="X26" s="95"/>
      <x:c r="Y26" s="92"/>
      <x:c r="Z26" s="92"/>
      <x:c r="AA26" s="92"/>
      <x:c r="AB26" s="92"/>
      <x:c r="AC26" s="113" t="str">
        <x:f>IF(A26="","",IF(P26="","",IF(S26&lt;&gt;"",S26-P26,TODAY()-P26)))</x:f>
      </x:c>
    </x:row>
    <x:row r="27" ht="28" customHeight="1">
      <x:c r="A27" s="92"/>
      <x:c r="B27" s="95"/>
      <x:c r="C27" s="92"/>
      <x:c r="D27" s="92"/>
      <x:c r="E27" s="92"/>
      <x:c r="F27" s="92"/>
      <x:c r="G27" s="92"/>
      <x:c r="H27" s="92"/>
      <x:c r="I27" s="101"/>
      <x:c r="J27" s="107"/>
      <x:c r="K27" s="110" t="str">
        <x:f>IF(A27="","",IFERROR(VLOOKUP(C27,'Cấu hình'!$A$12:$D$19,2,FALSE),0))</x:f>
      </x:c>
      <x:c r="L27" s="92"/>
      <x:c r="M27" s="92"/>
      <x:c r="N27" s="95"/>
      <x:c r="O27" s="101"/>
      <x:c r="P27" s="101"/>
      <x:c r="Q27" s="101"/>
      <x:c r="R27" s="104" t="str">
        <x:f>IF(OR(P27="",D27=""),"",P27+IFERROR(VLOOKUP(D27,'Cấu hình'!$E$12:$G$15,3,FALSE),0))</x:f>
      </x:c>
      <x:c r="S27" s="101"/>
      <x:c r="T27" s="107"/>
      <x:c r="U27" s="113" t="str">
        <x:f>IF(A27="","",IF(S27&lt;&gt;"",0,IF(I27&lt;&gt;"",I27-TODAY(),IF(R27&lt;&gt;"",R27-TODAY(),""))))</x:f>
      </x:c>
      <x:c r="V27" s="113" t="str">
        <x:f>IF(A27="","",IF(S27&lt;&gt;"",MAX(0,S27-IF(I27&lt;&gt;"",I27,R27)),IF(OR(I27&lt;&gt;"",R27&lt;&gt;""),MAX(0,TODAY()-IF(I27&lt;&gt;"",I27,R27)),0)))</x:f>
      </x:c>
      <x:c r="W27" s="95"/>
      <x:c r="X27" s="95"/>
      <x:c r="Y27" s="92"/>
      <x:c r="Z27" s="92"/>
      <x:c r="AA27" s="92"/>
      <x:c r="AB27" s="92"/>
      <x:c r="AC27" s="113" t="str">
        <x:f>IF(A27="","",IF(P27="","",IF(S27&lt;&gt;"",S27-P27,TODAY()-P27)))</x:f>
      </x:c>
    </x:row>
    <x:row r="28" ht="28" customHeight="1">
      <x:c r="A28" s="92"/>
      <x:c r="B28" s="95"/>
      <x:c r="C28" s="92"/>
      <x:c r="D28" s="92"/>
      <x:c r="E28" s="92"/>
      <x:c r="F28" s="92"/>
      <x:c r="G28" s="92"/>
      <x:c r="H28" s="92"/>
      <x:c r="I28" s="101"/>
      <x:c r="J28" s="107"/>
      <x:c r="K28" s="110" t="str">
        <x:f>IF(A28="","",IFERROR(VLOOKUP(C28,'Cấu hình'!$A$12:$D$19,2,FALSE),0))</x:f>
      </x:c>
      <x:c r="L28" s="92"/>
      <x:c r="M28" s="92"/>
      <x:c r="N28" s="95"/>
      <x:c r="O28" s="101"/>
      <x:c r="P28" s="101"/>
      <x:c r="Q28" s="101"/>
      <x:c r="R28" s="104" t="str">
        <x:f>IF(OR(P28="",D28=""),"",P28+IFERROR(VLOOKUP(D28,'Cấu hình'!$E$12:$G$15,3,FALSE),0))</x:f>
      </x:c>
      <x:c r="S28" s="101"/>
      <x:c r="T28" s="107"/>
      <x:c r="U28" s="113" t="str">
        <x:f>IF(A28="","",IF(S28&lt;&gt;"",0,IF(I28&lt;&gt;"",I28-TODAY(),IF(R28&lt;&gt;"",R28-TODAY(),""))))</x:f>
      </x:c>
      <x:c r="V28" s="113" t="str">
        <x:f>IF(A28="","",IF(S28&lt;&gt;"",MAX(0,S28-IF(I28&lt;&gt;"",I28,R28)),IF(OR(I28&lt;&gt;"",R28&lt;&gt;""),MAX(0,TODAY()-IF(I28&lt;&gt;"",I28,R28)),0)))</x:f>
      </x:c>
      <x:c r="W28" s="95"/>
      <x:c r="X28" s="95"/>
      <x:c r="Y28" s="92"/>
      <x:c r="Z28" s="92"/>
      <x:c r="AA28" s="92"/>
      <x:c r="AB28" s="92"/>
      <x:c r="AC28" s="113" t="str">
        <x:f>IF(A28="","",IF(P28="","",IF(S28&lt;&gt;"",S28-P28,TODAY()-P28)))</x:f>
      </x:c>
    </x:row>
    <x:row r="29" ht="28" customHeight="1">
      <x:c r="A29" s="92"/>
      <x:c r="B29" s="95"/>
      <x:c r="C29" s="92"/>
      <x:c r="D29" s="92"/>
      <x:c r="E29" s="92"/>
      <x:c r="F29" s="92"/>
      <x:c r="G29" s="92"/>
      <x:c r="H29" s="92"/>
      <x:c r="I29" s="101"/>
      <x:c r="J29" s="107"/>
      <x:c r="K29" s="110" t="str">
        <x:f>IF(A29="","",IFERROR(VLOOKUP(C29,'Cấu hình'!$A$12:$D$19,2,FALSE),0))</x:f>
      </x:c>
      <x:c r="L29" s="92"/>
      <x:c r="M29" s="92"/>
      <x:c r="N29" s="95"/>
      <x:c r="O29" s="101"/>
      <x:c r="P29" s="101"/>
      <x:c r="Q29" s="101"/>
      <x:c r="R29" s="104" t="str">
        <x:f>IF(OR(P29="",D29=""),"",P29+IFERROR(VLOOKUP(D29,'Cấu hình'!$E$12:$G$15,3,FALSE),0))</x:f>
      </x:c>
      <x:c r="S29" s="101"/>
      <x:c r="T29" s="107"/>
      <x:c r="U29" s="113" t="str">
        <x:f>IF(A29="","",IF(S29&lt;&gt;"",0,IF(I29&lt;&gt;"",I29-TODAY(),IF(R29&lt;&gt;"",R29-TODAY(),""))))</x:f>
      </x:c>
      <x:c r="V29" s="113" t="str">
        <x:f>IF(A29="","",IF(S29&lt;&gt;"",MAX(0,S29-IF(I29&lt;&gt;"",I29,R29)),IF(OR(I29&lt;&gt;"",R29&lt;&gt;""),MAX(0,TODAY()-IF(I29&lt;&gt;"",I29,R29)),0)))</x:f>
      </x:c>
      <x:c r="W29" s="95"/>
      <x:c r="X29" s="95"/>
      <x:c r="Y29" s="92"/>
      <x:c r="Z29" s="92"/>
      <x:c r="AA29" s="92"/>
      <x:c r="AB29" s="92"/>
      <x:c r="AC29" s="113" t="str">
        <x:f>IF(A29="","",IF(P29="","",IF(S29&lt;&gt;"",S29-P29,TODAY()-P29)))</x:f>
      </x:c>
    </x:row>
    <x:row r="30" ht="28" customHeight="1">
      <x:c r="A30" s="92"/>
      <x:c r="B30" s="95"/>
      <x:c r="C30" s="92"/>
      <x:c r="D30" s="92"/>
      <x:c r="E30" s="92"/>
      <x:c r="F30" s="92"/>
      <x:c r="G30" s="92"/>
      <x:c r="H30" s="92"/>
      <x:c r="I30" s="101"/>
      <x:c r="J30" s="107"/>
      <x:c r="K30" s="110" t="str">
        <x:f>IF(A30="","",IFERROR(VLOOKUP(C30,'Cấu hình'!$A$12:$D$19,2,FALSE),0))</x:f>
      </x:c>
      <x:c r="L30" s="92"/>
      <x:c r="M30" s="92"/>
      <x:c r="N30" s="95"/>
      <x:c r="O30" s="101"/>
      <x:c r="P30" s="101"/>
      <x:c r="Q30" s="101"/>
      <x:c r="R30" s="104" t="str">
        <x:f>IF(OR(P30="",D30=""),"",P30+IFERROR(VLOOKUP(D30,'Cấu hình'!$E$12:$G$15,3,FALSE),0))</x:f>
      </x:c>
      <x:c r="S30" s="101"/>
      <x:c r="T30" s="107"/>
      <x:c r="U30" s="113" t="str">
        <x:f>IF(A30="","",IF(S30&lt;&gt;"",0,IF(I30&lt;&gt;"",I30-TODAY(),IF(R30&lt;&gt;"",R30-TODAY(),""))))</x:f>
      </x:c>
      <x:c r="V30" s="113" t="str">
        <x:f>IF(A30="","",IF(S30&lt;&gt;"",MAX(0,S30-IF(I30&lt;&gt;"",I30,R30)),IF(OR(I30&lt;&gt;"",R30&lt;&gt;""),MAX(0,TODAY()-IF(I30&lt;&gt;"",I30,R30)),0)))</x:f>
      </x:c>
      <x:c r="W30" s="95"/>
      <x:c r="X30" s="95"/>
      <x:c r="Y30" s="92"/>
      <x:c r="Z30" s="92"/>
      <x:c r="AA30" s="92"/>
      <x:c r="AB30" s="92"/>
      <x:c r="AC30" s="113" t="str">
        <x:f>IF(A30="","",IF(P30="","",IF(S30&lt;&gt;"",S30-P30,TODAY()-P30)))</x:f>
      </x:c>
    </x:row>
    <x:row r="31" ht="28" customHeight="1">
      <x:c r="A31" s="92"/>
      <x:c r="B31" s="95"/>
      <x:c r="C31" s="92"/>
      <x:c r="D31" s="92"/>
      <x:c r="E31" s="92"/>
      <x:c r="F31" s="92"/>
      <x:c r="G31" s="92"/>
      <x:c r="H31" s="92"/>
      <x:c r="I31" s="101"/>
      <x:c r="J31" s="107"/>
      <x:c r="K31" s="110" t="str">
        <x:f>IF(A31="","",IFERROR(VLOOKUP(C31,'Cấu hình'!$A$12:$D$19,2,FALSE),0))</x:f>
      </x:c>
      <x:c r="L31" s="92"/>
      <x:c r="M31" s="92"/>
      <x:c r="N31" s="95"/>
      <x:c r="O31" s="101"/>
      <x:c r="P31" s="101"/>
      <x:c r="Q31" s="101"/>
      <x:c r="R31" s="104" t="str">
        <x:f>IF(OR(P31="",D31=""),"",P31+IFERROR(VLOOKUP(D31,'Cấu hình'!$E$12:$G$15,3,FALSE),0))</x:f>
      </x:c>
      <x:c r="S31" s="101"/>
      <x:c r="T31" s="107"/>
      <x:c r="U31" s="113" t="str">
        <x:f>IF(A31="","",IF(S31&lt;&gt;"",0,IF(I31&lt;&gt;"",I31-TODAY(),IF(R31&lt;&gt;"",R31-TODAY(),""))))</x:f>
      </x:c>
      <x:c r="V31" s="113" t="str">
        <x:f>IF(A31="","",IF(S31&lt;&gt;"",MAX(0,S31-IF(I31&lt;&gt;"",I31,R31)),IF(OR(I31&lt;&gt;"",R31&lt;&gt;""),MAX(0,TODAY()-IF(I31&lt;&gt;"",I31,R31)),0)))</x:f>
      </x:c>
      <x:c r="W31" s="95"/>
      <x:c r="X31" s="95"/>
      <x:c r="Y31" s="92"/>
      <x:c r="Z31" s="92"/>
      <x:c r="AA31" s="92"/>
      <x:c r="AB31" s="92"/>
      <x:c r="AC31" s="113" t="str">
        <x:f>IF(A31="","",IF(P31="","",IF(S31&lt;&gt;"",S31-P31,TODAY()-P31)))</x:f>
      </x:c>
    </x:row>
    <x:row r="32" ht="28" customHeight="1">
      <x:c r="A32" s="92"/>
      <x:c r="B32" s="95"/>
      <x:c r="C32" s="92"/>
      <x:c r="D32" s="92"/>
      <x:c r="E32" s="92"/>
      <x:c r="F32" s="92"/>
      <x:c r="G32" s="92"/>
      <x:c r="H32" s="92"/>
      <x:c r="I32" s="101"/>
      <x:c r="J32" s="107"/>
      <x:c r="K32" s="110" t="str">
        <x:f>IF(A32="","",IFERROR(VLOOKUP(C32,'Cấu hình'!$A$12:$D$19,2,FALSE),0))</x:f>
      </x:c>
      <x:c r="L32" s="92"/>
      <x:c r="M32" s="92"/>
      <x:c r="N32" s="95"/>
      <x:c r="O32" s="101"/>
      <x:c r="P32" s="101"/>
      <x:c r="Q32" s="101"/>
      <x:c r="R32" s="104" t="str">
        <x:f>IF(OR(P32="",D32=""),"",P32+IFERROR(VLOOKUP(D32,'Cấu hình'!$E$12:$G$15,3,FALSE),0))</x:f>
      </x:c>
      <x:c r="S32" s="101"/>
      <x:c r="T32" s="107"/>
      <x:c r="U32" s="113" t="str">
        <x:f>IF(A32="","",IF(S32&lt;&gt;"",0,IF(I32&lt;&gt;"",I32-TODAY(),IF(R32&lt;&gt;"",R32-TODAY(),""))))</x:f>
      </x:c>
      <x:c r="V32" s="113" t="str">
        <x:f>IF(A32="","",IF(S32&lt;&gt;"",MAX(0,S32-IF(I32&lt;&gt;"",I32,R32)),IF(OR(I32&lt;&gt;"",R32&lt;&gt;""),MAX(0,TODAY()-IF(I32&lt;&gt;"",I32,R32)),0)))</x:f>
      </x:c>
      <x:c r="W32" s="95"/>
      <x:c r="X32" s="95"/>
      <x:c r="Y32" s="92"/>
      <x:c r="Z32" s="92"/>
      <x:c r="AA32" s="92"/>
      <x:c r="AB32" s="92"/>
      <x:c r="AC32" s="113" t="str">
        <x:f>IF(A32="","",IF(P32="","",IF(S32&lt;&gt;"",S32-P32,TODAY()-P32)))</x:f>
      </x:c>
    </x:row>
    <x:row r="33" ht="28" customHeight="1">
      <x:c r="A33" s="92"/>
      <x:c r="B33" s="95"/>
      <x:c r="C33" s="92"/>
      <x:c r="D33" s="92"/>
      <x:c r="E33" s="92"/>
      <x:c r="F33" s="92"/>
      <x:c r="G33" s="92"/>
      <x:c r="H33" s="92"/>
      <x:c r="I33" s="101"/>
      <x:c r="J33" s="107"/>
      <x:c r="K33" s="110" t="str">
        <x:f>IF(A33="","",IFERROR(VLOOKUP(C33,'Cấu hình'!$A$12:$D$19,2,FALSE),0))</x:f>
      </x:c>
      <x:c r="L33" s="92"/>
      <x:c r="M33" s="92"/>
      <x:c r="N33" s="95"/>
      <x:c r="O33" s="101"/>
      <x:c r="P33" s="101"/>
      <x:c r="Q33" s="101"/>
      <x:c r="R33" s="104" t="str">
        <x:f>IF(OR(P33="",D33=""),"",P33+IFERROR(VLOOKUP(D33,'Cấu hình'!$E$12:$G$15,3,FALSE),0))</x:f>
      </x:c>
      <x:c r="S33" s="101"/>
      <x:c r="T33" s="107"/>
      <x:c r="U33" s="113" t="str">
        <x:f>IF(A33="","",IF(S33&lt;&gt;"",0,IF(I33&lt;&gt;"",I33-TODAY(),IF(R33&lt;&gt;"",R33-TODAY(),""))))</x:f>
      </x:c>
      <x:c r="V33" s="113" t="str">
        <x:f>IF(A33="","",IF(S33&lt;&gt;"",MAX(0,S33-IF(I33&lt;&gt;"",I33,R33)),IF(OR(I33&lt;&gt;"",R33&lt;&gt;""),MAX(0,TODAY()-IF(I33&lt;&gt;"",I33,R33)),0)))</x:f>
      </x:c>
      <x:c r="W33" s="95"/>
      <x:c r="X33" s="95"/>
      <x:c r="Y33" s="92"/>
      <x:c r="Z33" s="92"/>
      <x:c r="AA33" s="92"/>
      <x:c r="AB33" s="92"/>
      <x:c r="AC33" s="113" t="str">
        <x:f>IF(A33="","",IF(P33="","",IF(S33&lt;&gt;"",S33-P33,TODAY()-P33)))</x:f>
      </x:c>
    </x:row>
    <x:row r="34" ht="28" customHeight="1">
      <x:c r="A34" s="92"/>
      <x:c r="B34" s="95"/>
      <x:c r="C34" s="92"/>
      <x:c r="D34" s="92"/>
      <x:c r="E34" s="92"/>
      <x:c r="F34" s="92"/>
      <x:c r="G34" s="92"/>
      <x:c r="H34" s="92"/>
      <x:c r="I34" s="101"/>
      <x:c r="J34" s="107"/>
      <x:c r="K34" s="110" t="str">
        <x:f>IF(A34="","",IFERROR(VLOOKUP(C34,'Cấu hình'!$A$12:$D$19,2,FALSE),0))</x:f>
      </x:c>
      <x:c r="L34" s="92"/>
      <x:c r="M34" s="92"/>
      <x:c r="N34" s="95"/>
      <x:c r="O34" s="101"/>
      <x:c r="P34" s="101"/>
      <x:c r="Q34" s="101"/>
      <x:c r="R34" s="104" t="str">
        <x:f>IF(OR(P34="",D34=""),"",P34+IFERROR(VLOOKUP(D34,'Cấu hình'!$E$12:$G$15,3,FALSE),0))</x:f>
      </x:c>
      <x:c r="S34" s="101"/>
      <x:c r="T34" s="107"/>
      <x:c r="U34" s="113" t="str">
        <x:f>IF(A34="","",IF(S34&lt;&gt;"",0,IF(I34&lt;&gt;"",I34-TODAY(),IF(R34&lt;&gt;"",R34-TODAY(),""))))</x:f>
      </x:c>
      <x:c r="V34" s="113" t="str">
        <x:f>IF(A34="","",IF(S34&lt;&gt;"",MAX(0,S34-IF(I34&lt;&gt;"",I34,R34)),IF(OR(I34&lt;&gt;"",R34&lt;&gt;""),MAX(0,TODAY()-IF(I34&lt;&gt;"",I34,R34)),0)))</x:f>
      </x:c>
      <x:c r="W34" s="95"/>
      <x:c r="X34" s="95"/>
      <x:c r="Y34" s="92"/>
      <x:c r="Z34" s="92"/>
      <x:c r="AA34" s="92"/>
      <x:c r="AB34" s="92"/>
      <x:c r="AC34" s="113" t="str">
        <x:f>IF(A34="","",IF(P34="","",IF(S34&lt;&gt;"",S34-P34,TODAY()-P34)))</x:f>
      </x:c>
    </x:row>
    <x:row r="35" ht="28" customHeight="1">
      <x:c r="A35" s="92"/>
      <x:c r="B35" s="95"/>
      <x:c r="C35" s="92"/>
      <x:c r="D35" s="92"/>
      <x:c r="E35" s="92"/>
      <x:c r="F35" s="92"/>
      <x:c r="G35" s="92"/>
      <x:c r="H35" s="92"/>
      <x:c r="I35" s="101"/>
      <x:c r="J35" s="107"/>
      <x:c r="K35" s="110" t="str">
        <x:f>IF(A35="","",IFERROR(VLOOKUP(C35,'Cấu hình'!$A$12:$D$19,2,FALSE),0))</x:f>
      </x:c>
      <x:c r="L35" s="92"/>
      <x:c r="M35" s="92"/>
      <x:c r="N35" s="95"/>
      <x:c r="O35" s="101"/>
      <x:c r="P35" s="101"/>
      <x:c r="Q35" s="101"/>
      <x:c r="R35" s="104" t="str">
        <x:f>IF(OR(P35="",D35=""),"",P35+IFERROR(VLOOKUP(D35,'Cấu hình'!$E$12:$G$15,3,FALSE),0))</x:f>
      </x:c>
      <x:c r="S35" s="101"/>
      <x:c r="T35" s="107"/>
      <x:c r="U35" s="113" t="str">
        <x:f>IF(A35="","",IF(S35&lt;&gt;"",0,IF(I35&lt;&gt;"",I35-TODAY(),IF(R35&lt;&gt;"",R35-TODAY(),""))))</x:f>
      </x:c>
      <x:c r="V35" s="113" t="str">
        <x:f>IF(A35="","",IF(S35&lt;&gt;"",MAX(0,S35-IF(I35&lt;&gt;"",I35,R35)),IF(OR(I35&lt;&gt;"",R35&lt;&gt;""),MAX(0,TODAY()-IF(I35&lt;&gt;"",I35,R35)),0)))</x:f>
      </x:c>
      <x:c r="W35" s="95"/>
      <x:c r="X35" s="95"/>
      <x:c r="Y35" s="92"/>
      <x:c r="Z35" s="92"/>
      <x:c r="AA35" s="92"/>
      <x:c r="AB35" s="92"/>
      <x:c r="AC35" s="113" t="str">
        <x:f>IF(A35="","",IF(P35="","",IF(S35&lt;&gt;"",S35-P35,TODAY()-P35)))</x:f>
      </x:c>
    </x:row>
    <x:row r="36" ht="28" customHeight="1">
      <x:c r="A36" s="92"/>
      <x:c r="B36" s="95"/>
      <x:c r="C36" s="92"/>
      <x:c r="D36" s="92"/>
      <x:c r="E36" s="92"/>
      <x:c r="F36" s="92"/>
      <x:c r="G36" s="92"/>
      <x:c r="H36" s="92"/>
      <x:c r="I36" s="101"/>
      <x:c r="J36" s="107"/>
      <x:c r="K36" s="110" t="str">
        <x:f>IF(A36="","",IFERROR(VLOOKUP(C36,'Cấu hình'!$A$12:$D$19,2,FALSE),0))</x:f>
      </x:c>
      <x:c r="L36" s="92"/>
      <x:c r="M36" s="92"/>
      <x:c r="N36" s="95"/>
      <x:c r="O36" s="101"/>
      <x:c r="P36" s="101"/>
      <x:c r="Q36" s="101"/>
      <x:c r="R36" s="104" t="str">
        <x:f>IF(OR(P36="",D36=""),"",P36+IFERROR(VLOOKUP(D36,'Cấu hình'!$E$12:$G$15,3,FALSE),0))</x:f>
      </x:c>
      <x:c r="S36" s="101"/>
      <x:c r="T36" s="107"/>
      <x:c r="U36" s="113" t="str">
        <x:f>IF(A36="","",IF(S36&lt;&gt;"",0,IF(I36&lt;&gt;"",I36-TODAY(),IF(R36&lt;&gt;"",R36-TODAY(),""))))</x:f>
      </x:c>
      <x:c r="V36" s="113" t="str">
        <x:f>IF(A36="","",IF(S36&lt;&gt;"",MAX(0,S36-IF(I36&lt;&gt;"",I36,R36)),IF(OR(I36&lt;&gt;"",R36&lt;&gt;""),MAX(0,TODAY()-IF(I36&lt;&gt;"",I36,R36)),0)))</x:f>
      </x:c>
      <x:c r="W36" s="95"/>
      <x:c r="X36" s="95"/>
      <x:c r="Y36" s="92"/>
      <x:c r="Z36" s="92"/>
      <x:c r="AA36" s="92"/>
      <x:c r="AB36" s="92"/>
      <x:c r="AC36" s="113" t="str">
        <x:f>IF(A36="","",IF(P36="","",IF(S36&lt;&gt;"",S36-P36,TODAY()-P36)))</x:f>
      </x:c>
    </x:row>
    <x:row r="37" ht="28" customHeight="1">
      <x:c r="A37" s="92"/>
      <x:c r="B37" s="95"/>
      <x:c r="C37" s="92"/>
      <x:c r="D37" s="92"/>
      <x:c r="E37" s="92"/>
      <x:c r="F37" s="92"/>
      <x:c r="G37" s="92"/>
      <x:c r="H37" s="92"/>
      <x:c r="I37" s="101"/>
      <x:c r="J37" s="107"/>
      <x:c r="K37" s="110" t="str">
        <x:f>IF(A37="","",IFERROR(VLOOKUP(C37,'Cấu hình'!$A$12:$D$19,2,FALSE),0))</x:f>
      </x:c>
      <x:c r="L37" s="92"/>
      <x:c r="M37" s="92"/>
      <x:c r="N37" s="95"/>
      <x:c r="O37" s="101"/>
      <x:c r="P37" s="101"/>
      <x:c r="Q37" s="101"/>
      <x:c r="R37" s="104" t="str">
        <x:f>IF(OR(P37="",D37=""),"",P37+IFERROR(VLOOKUP(D37,'Cấu hình'!$E$12:$G$15,3,FALSE),0))</x:f>
      </x:c>
      <x:c r="S37" s="101"/>
      <x:c r="T37" s="107"/>
      <x:c r="U37" s="113" t="str">
        <x:f>IF(A37="","",IF(S37&lt;&gt;"",0,IF(I37&lt;&gt;"",I37-TODAY(),IF(R37&lt;&gt;"",R37-TODAY(),""))))</x:f>
      </x:c>
      <x:c r="V37" s="113" t="str">
        <x:f>IF(A37="","",IF(S37&lt;&gt;"",MAX(0,S37-IF(I37&lt;&gt;"",I37,R37)),IF(OR(I37&lt;&gt;"",R37&lt;&gt;""),MAX(0,TODAY()-IF(I37&lt;&gt;"",I37,R37)),0)))</x:f>
      </x:c>
      <x:c r="W37" s="95"/>
      <x:c r="X37" s="95"/>
      <x:c r="Y37" s="92"/>
      <x:c r="Z37" s="92"/>
      <x:c r="AA37" s="92"/>
      <x:c r="AB37" s="92"/>
      <x:c r="AC37" s="113" t="str">
        <x:f>IF(A37="","",IF(P37="","",IF(S37&lt;&gt;"",S37-P37,TODAY()-P37)))</x:f>
      </x:c>
    </x:row>
    <x:row r="38" ht="28" customHeight="1">
      <x:c r="A38" s="92"/>
      <x:c r="B38" s="95"/>
      <x:c r="C38" s="92"/>
      <x:c r="D38" s="92"/>
      <x:c r="E38" s="92"/>
      <x:c r="F38" s="92"/>
      <x:c r="G38" s="92"/>
      <x:c r="H38" s="92"/>
      <x:c r="I38" s="101"/>
      <x:c r="J38" s="107"/>
      <x:c r="K38" s="110" t="str">
        <x:f>IF(A38="","",IFERROR(VLOOKUP(C38,'Cấu hình'!$A$12:$D$19,2,FALSE),0))</x:f>
      </x:c>
      <x:c r="L38" s="92"/>
      <x:c r="M38" s="92"/>
      <x:c r="N38" s="95"/>
      <x:c r="O38" s="101"/>
      <x:c r="P38" s="101"/>
      <x:c r="Q38" s="101"/>
      <x:c r="R38" s="104" t="str">
        <x:f>IF(OR(P38="",D38=""),"",P38+IFERROR(VLOOKUP(D38,'Cấu hình'!$E$12:$G$15,3,FALSE),0))</x:f>
      </x:c>
      <x:c r="S38" s="101"/>
      <x:c r="T38" s="107"/>
      <x:c r="U38" s="113" t="str">
        <x:f>IF(A38="","",IF(S38&lt;&gt;"",0,IF(I38&lt;&gt;"",I38-TODAY(),IF(R38&lt;&gt;"",R38-TODAY(),""))))</x:f>
      </x:c>
      <x:c r="V38" s="113" t="str">
        <x:f>IF(A38="","",IF(S38&lt;&gt;"",MAX(0,S38-IF(I38&lt;&gt;"",I38,R38)),IF(OR(I38&lt;&gt;"",R38&lt;&gt;""),MAX(0,TODAY()-IF(I38&lt;&gt;"",I38,R38)),0)))</x:f>
      </x:c>
      <x:c r="W38" s="95"/>
      <x:c r="X38" s="95"/>
      <x:c r="Y38" s="92"/>
      <x:c r="Z38" s="92"/>
      <x:c r="AA38" s="92"/>
      <x:c r="AB38" s="92"/>
      <x:c r="AC38" s="113" t="str">
        <x:f>IF(A38="","",IF(P38="","",IF(S38&lt;&gt;"",S38-P38,TODAY()-P38)))</x:f>
      </x:c>
    </x:row>
    <x:row r="39" ht="28" customHeight="1">
      <x:c r="A39" s="92"/>
      <x:c r="B39" s="95"/>
      <x:c r="C39" s="92"/>
      <x:c r="D39" s="92"/>
      <x:c r="E39" s="92"/>
      <x:c r="F39" s="92"/>
      <x:c r="G39" s="92"/>
      <x:c r="H39" s="92"/>
      <x:c r="I39" s="101"/>
      <x:c r="J39" s="107"/>
      <x:c r="K39" s="110" t="str">
        <x:f>IF(A39="","",IFERROR(VLOOKUP(C39,'Cấu hình'!$A$12:$D$19,2,FALSE),0))</x:f>
      </x:c>
      <x:c r="L39" s="92"/>
      <x:c r="M39" s="92"/>
      <x:c r="N39" s="95"/>
      <x:c r="O39" s="101"/>
      <x:c r="P39" s="101"/>
      <x:c r="Q39" s="101"/>
      <x:c r="R39" s="104" t="str">
        <x:f>IF(OR(P39="",D39=""),"",P39+IFERROR(VLOOKUP(D39,'Cấu hình'!$E$12:$G$15,3,FALSE),0))</x:f>
      </x:c>
      <x:c r="S39" s="101"/>
      <x:c r="T39" s="107"/>
      <x:c r="U39" s="113" t="str">
        <x:f>IF(A39="","",IF(S39&lt;&gt;"",0,IF(I39&lt;&gt;"",I39-TODAY(),IF(R39&lt;&gt;"",R39-TODAY(),""))))</x:f>
      </x:c>
      <x:c r="V39" s="113" t="str">
        <x:f>IF(A39="","",IF(S39&lt;&gt;"",MAX(0,S39-IF(I39&lt;&gt;"",I39,R39)),IF(OR(I39&lt;&gt;"",R39&lt;&gt;""),MAX(0,TODAY()-IF(I39&lt;&gt;"",I39,R39)),0)))</x:f>
      </x:c>
      <x:c r="W39" s="95"/>
      <x:c r="X39" s="95"/>
      <x:c r="Y39" s="92"/>
      <x:c r="Z39" s="92"/>
      <x:c r="AA39" s="92"/>
      <x:c r="AB39" s="92"/>
      <x:c r="AC39" s="113" t="str">
        <x:f>IF(A39="","",IF(P39="","",IF(S39&lt;&gt;"",S39-P39,TODAY()-P39)))</x:f>
      </x:c>
    </x:row>
    <x:row r="40" ht="28" customHeight="1">
      <x:c r="A40" s="92"/>
      <x:c r="B40" s="95"/>
      <x:c r="C40" s="92"/>
      <x:c r="D40" s="92"/>
      <x:c r="E40" s="92"/>
      <x:c r="F40" s="92"/>
      <x:c r="G40" s="92"/>
      <x:c r="H40" s="92"/>
      <x:c r="I40" s="101"/>
      <x:c r="J40" s="107"/>
      <x:c r="K40" s="110" t="str">
        <x:f>IF(A40="","",IFERROR(VLOOKUP(C40,'Cấu hình'!$A$12:$D$19,2,FALSE),0))</x:f>
      </x:c>
      <x:c r="L40" s="92"/>
      <x:c r="M40" s="92"/>
      <x:c r="N40" s="95"/>
      <x:c r="O40" s="101"/>
      <x:c r="P40" s="101"/>
      <x:c r="Q40" s="101"/>
      <x:c r="R40" s="104" t="str">
        <x:f>IF(OR(P40="",D40=""),"",P40+IFERROR(VLOOKUP(D40,'Cấu hình'!$E$12:$G$15,3,FALSE),0))</x:f>
      </x:c>
      <x:c r="S40" s="101"/>
      <x:c r="T40" s="107"/>
      <x:c r="U40" s="113" t="str">
        <x:f>IF(A40="","",IF(S40&lt;&gt;"",0,IF(I40&lt;&gt;"",I40-TODAY(),IF(R40&lt;&gt;"",R40-TODAY(),""))))</x:f>
      </x:c>
      <x:c r="V40" s="113" t="str">
        <x:f>IF(A40="","",IF(S40&lt;&gt;"",MAX(0,S40-IF(I40&lt;&gt;"",I40,R40)),IF(OR(I40&lt;&gt;"",R40&lt;&gt;""),MAX(0,TODAY()-IF(I40&lt;&gt;"",I40,R40)),0)))</x:f>
      </x:c>
      <x:c r="W40" s="95"/>
      <x:c r="X40" s="95"/>
      <x:c r="Y40" s="92"/>
      <x:c r="Z40" s="92"/>
      <x:c r="AA40" s="92"/>
      <x:c r="AB40" s="92"/>
      <x:c r="AC40" s="113" t="str">
        <x:f>IF(A40="","",IF(P40="","",IF(S40&lt;&gt;"",S40-P40,TODAY()-P40)))</x:f>
      </x:c>
    </x:row>
    <x:row r="41" ht="28" customHeight="1">
      <x:c r="A41" s="92"/>
      <x:c r="B41" s="95"/>
      <x:c r="C41" s="92"/>
      <x:c r="D41" s="92"/>
      <x:c r="E41" s="92"/>
      <x:c r="F41" s="92"/>
      <x:c r="G41" s="92"/>
      <x:c r="H41" s="92"/>
      <x:c r="I41" s="101"/>
      <x:c r="J41" s="107"/>
      <x:c r="K41" s="110" t="str">
        <x:f>IF(A41="","",IFERROR(VLOOKUP(C41,'Cấu hình'!$A$12:$D$19,2,FALSE),0))</x:f>
      </x:c>
      <x:c r="L41" s="92"/>
      <x:c r="M41" s="92"/>
      <x:c r="N41" s="95"/>
      <x:c r="O41" s="101"/>
      <x:c r="P41" s="101"/>
      <x:c r="Q41" s="101"/>
      <x:c r="R41" s="104" t="str">
        <x:f>IF(OR(P41="",D41=""),"",P41+IFERROR(VLOOKUP(D41,'Cấu hình'!$E$12:$G$15,3,FALSE),0))</x:f>
      </x:c>
      <x:c r="S41" s="101"/>
      <x:c r="T41" s="107"/>
      <x:c r="U41" s="113" t="str">
        <x:f>IF(A41="","",IF(S41&lt;&gt;"",0,IF(I41&lt;&gt;"",I41-TODAY(),IF(R41&lt;&gt;"",R41-TODAY(),""))))</x:f>
      </x:c>
      <x:c r="V41" s="113" t="str">
        <x:f>IF(A41="","",IF(S41&lt;&gt;"",MAX(0,S41-IF(I41&lt;&gt;"",I41,R41)),IF(OR(I41&lt;&gt;"",R41&lt;&gt;""),MAX(0,TODAY()-IF(I41&lt;&gt;"",I41,R41)),0)))</x:f>
      </x:c>
      <x:c r="W41" s="95"/>
      <x:c r="X41" s="95"/>
      <x:c r="Y41" s="92"/>
      <x:c r="Z41" s="92"/>
      <x:c r="AA41" s="92"/>
      <x:c r="AB41" s="92"/>
      <x:c r="AC41" s="113" t="str">
        <x:f>IF(A41="","",IF(P41="","",IF(S41&lt;&gt;"",S41-P41,TODAY()-P41)))</x:f>
      </x:c>
    </x:row>
    <x:row r="42" ht="28" customHeight="1">
      <x:c r="A42" s="92"/>
      <x:c r="B42" s="95"/>
      <x:c r="C42" s="92"/>
      <x:c r="D42" s="92"/>
      <x:c r="E42" s="92"/>
      <x:c r="F42" s="92"/>
      <x:c r="G42" s="92"/>
      <x:c r="H42" s="92"/>
      <x:c r="I42" s="101"/>
      <x:c r="J42" s="107"/>
      <x:c r="K42" s="110" t="str">
        <x:f>IF(A42="","",IFERROR(VLOOKUP(C42,'Cấu hình'!$A$12:$D$19,2,FALSE),0))</x:f>
      </x:c>
      <x:c r="L42" s="92"/>
      <x:c r="M42" s="92"/>
      <x:c r="N42" s="95"/>
      <x:c r="O42" s="101"/>
      <x:c r="P42" s="101"/>
      <x:c r="Q42" s="101"/>
      <x:c r="R42" s="104" t="str">
        <x:f>IF(OR(P42="",D42=""),"",P42+IFERROR(VLOOKUP(D42,'Cấu hình'!$E$12:$G$15,3,FALSE),0))</x:f>
      </x:c>
      <x:c r="S42" s="101"/>
      <x:c r="T42" s="107"/>
      <x:c r="U42" s="113" t="str">
        <x:f>IF(A42="","",IF(S42&lt;&gt;"",0,IF(I42&lt;&gt;"",I42-TODAY(),IF(R42&lt;&gt;"",R42-TODAY(),""))))</x:f>
      </x:c>
      <x:c r="V42" s="113" t="str">
        <x:f>IF(A42="","",IF(S42&lt;&gt;"",MAX(0,S42-IF(I42&lt;&gt;"",I42,R42)),IF(OR(I42&lt;&gt;"",R42&lt;&gt;""),MAX(0,TODAY()-IF(I42&lt;&gt;"",I42,R42)),0)))</x:f>
      </x:c>
      <x:c r="W42" s="95"/>
      <x:c r="X42" s="95"/>
      <x:c r="Y42" s="92"/>
      <x:c r="Z42" s="92"/>
      <x:c r="AA42" s="92"/>
      <x:c r="AB42" s="92"/>
      <x:c r="AC42" s="113" t="str">
        <x:f>IF(A42="","",IF(P42="","",IF(S42&lt;&gt;"",S42-P42,TODAY()-P42)))</x:f>
      </x:c>
    </x:row>
    <x:row r="43" ht="28" customHeight="1">
      <x:c r="A43" s="92"/>
      <x:c r="B43" s="95"/>
      <x:c r="C43" s="92"/>
      <x:c r="D43" s="92"/>
      <x:c r="E43" s="92"/>
      <x:c r="F43" s="92"/>
      <x:c r="G43" s="92"/>
      <x:c r="H43" s="92"/>
      <x:c r="I43" s="101"/>
      <x:c r="J43" s="107"/>
      <x:c r="K43" s="110" t="str">
        <x:f>IF(A43="","",IFERROR(VLOOKUP(C43,'Cấu hình'!$A$12:$D$19,2,FALSE),0))</x:f>
      </x:c>
      <x:c r="L43" s="92"/>
      <x:c r="M43" s="92"/>
      <x:c r="N43" s="95"/>
      <x:c r="O43" s="101"/>
      <x:c r="P43" s="101"/>
      <x:c r="Q43" s="101"/>
      <x:c r="R43" s="104" t="str">
        <x:f>IF(OR(P43="",D43=""),"",P43+IFERROR(VLOOKUP(D43,'Cấu hình'!$E$12:$G$15,3,FALSE),0))</x:f>
      </x:c>
      <x:c r="S43" s="101"/>
      <x:c r="T43" s="107"/>
      <x:c r="U43" s="113" t="str">
        <x:f>IF(A43="","",IF(S43&lt;&gt;"",0,IF(I43&lt;&gt;"",I43-TODAY(),IF(R43&lt;&gt;"",R43-TODAY(),""))))</x:f>
      </x:c>
      <x:c r="V43" s="113" t="str">
        <x:f>IF(A43="","",IF(S43&lt;&gt;"",MAX(0,S43-IF(I43&lt;&gt;"",I43,R43)),IF(OR(I43&lt;&gt;"",R43&lt;&gt;""),MAX(0,TODAY()-IF(I43&lt;&gt;"",I43,R43)),0)))</x:f>
      </x:c>
      <x:c r="W43" s="95"/>
      <x:c r="X43" s="95"/>
      <x:c r="Y43" s="92"/>
      <x:c r="Z43" s="92"/>
      <x:c r="AA43" s="92"/>
      <x:c r="AB43" s="92"/>
      <x:c r="AC43" s="113" t="str">
        <x:f>IF(A43="","",IF(P43="","",IF(S43&lt;&gt;"",S43-P43,TODAY()-P43)))</x:f>
      </x:c>
    </x:row>
    <x:row r="44" ht="28" customHeight="1">
      <x:c r="A44" s="92"/>
      <x:c r="B44" s="95"/>
      <x:c r="C44" s="92"/>
      <x:c r="D44" s="92"/>
      <x:c r="E44" s="92"/>
      <x:c r="F44" s="92"/>
      <x:c r="G44" s="92"/>
      <x:c r="H44" s="92"/>
      <x:c r="I44" s="101"/>
      <x:c r="J44" s="107"/>
      <x:c r="K44" s="110" t="str">
        <x:f>IF(A44="","",IFERROR(VLOOKUP(C44,'Cấu hình'!$A$12:$D$19,2,FALSE),0))</x:f>
      </x:c>
      <x:c r="L44" s="92"/>
      <x:c r="M44" s="92"/>
      <x:c r="N44" s="95"/>
      <x:c r="O44" s="101"/>
      <x:c r="P44" s="101"/>
      <x:c r="Q44" s="101"/>
      <x:c r="R44" s="104" t="str">
        <x:f>IF(OR(P44="",D44=""),"",P44+IFERROR(VLOOKUP(D44,'Cấu hình'!$E$12:$G$15,3,FALSE),0))</x:f>
      </x:c>
      <x:c r="S44" s="101"/>
      <x:c r="T44" s="107"/>
      <x:c r="U44" s="113" t="str">
        <x:f>IF(A44="","",IF(S44&lt;&gt;"",0,IF(I44&lt;&gt;"",I44-TODAY(),IF(R44&lt;&gt;"",R44-TODAY(),""))))</x:f>
      </x:c>
      <x:c r="V44" s="113" t="str">
        <x:f>IF(A44="","",IF(S44&lt;&gt;"",MAX(0,S44-IF(I44&lt;&gt;"",I44,R44)),IF(OR(I44&lt;&gt;"",R44&lt;&gt;""),MAX(0,TODAY()-IF(I44&lt;&gt;"",I44,R44)),0)))</x:f>
      </x:c>
      <x:c r="W44" s="95"/>
      <x:c r="X44" s="95"/>
      <x:c r="Y44" s="92"/>
      <x:c r="Z44" s="92"/>
      <x:c r="AA44" s="92"/>
      <x:c r="AB44" s="92"/>
      <x:c r="AC44" s="113" t="str">
        <x:f>IF(A44="","",IF(P44="","",IF(S44&lt;&gt;"",S44-P44,TODAY()-P44)))</x:f>
      </x:c>
    </x:row>
    <x:row r="45" ht="28" customHeight="1">
      <x:c r="A45" s="92"/>
      <x:c r="B45" s="95"/>
      <x:c r="C45" s="92"/>
      <x:c r="D45" s="92"/>
      <x:c r="E45" s="92"/>
      <x:c r="F45" s="92"/>
      <x:c r="G45" s="92"/>
      <x:c r="H45" s="92"/>
      <x:c r="I45" s="101"/>
      <x:c r="J45" s="107"/>
      <x:c r="K45" s="110" t="str">
        <x:f>IF(A45="","",IFERROR(VLOOKUP(C45,'Cấu hình'!$A$12:$D$19,2,FALSE),0))</x:f>
      </x:c>
      <x:c r="L45" s="92"/>
      <x:c r="M45" s="92"/>
      <x:c r="N45" s="95"/>
      <x:c r="O45" s="101"/>
      <x:c r="P45" s="101"/>
      <x:c r="Q45" s="101"/>
      <x:c r="R45" s="104" t="str">
        <x:f>IF(OR(P45="",D45=""),"",P45+IFERROR(VLOOKUP(D45,'Cấu hình'!$E$12:$G$15,3,FALSE),0))</x:f>
      </x:c>
      <x:c r="S45" s="101"/>
      <x:c r="T45" s="107"/>
      <x:c r="U45" s="113" t="str">
        <x:f>IF(A45="","",IF(S45&lt;&gt;"",0,IF(I45&lt;&gt;"",I45-TODAY(),IF(R45&lt;&gt;"",R45-TODAY(),""))))</x:f>
      </x:c>
      <x:c r="V45" s="113" t="str">
        <x:f>IF(A45="","",IF(S45&lt;&gt;"",MAX(0,S45-IF(I45&lt;&gt;"",I45,R45)),IF(OR(I45&lt;&gt;"",R45&lt;&gt;""),MAX(0,TODAY()-IF(I45&lt;&gt;"",I45,R45)),0)))</x:f>
      </x:c>
      <x:c r="W45" s="95"/>
      <x:c r="X45" s="95"/>
      <x:c r="Y45" s="92"/>
      <x:c r="Z45" s="92"/>
      <x:c r="AA45" s="92"/>
      <x:c r="AB45" s="92"/>
      <x:c r="AC45" s="113" t="str">
        <x:f>IF(A45="","",IF(P45="","",IF(S45&lt;&gt;"",S45-P45,TODAY()-P45)))</x:f>
      </x:c>
    </x:row>
    <x:row r="46" ht="28" customHeight="1">
      <x:c r="A46" s="92"/>
      <x:c r="B46" s="95"/>
      <x:c r="C46" s="92"/>
      <x:c r="D46" s="92"/>
      <x:c r="E46" s="92"/>
      <x:c r="F46" s="92"/>
      <x:c r="G46" s="92"/>
      <x:c r="H46" s="92"/>
      <x:c r="I46" s="101"/>
      <x:c r="J46" s="107"/>
      <x:c r="K46" s="110" t="str">
        <x:f>IF(A46="","",IFERROR(VLOOKUP(C46,'Cấu hình'!$A$12:$D$19,2,FALSE),0))</x:f>
      </x:c>
      <x:c r="L46" s="92"/>
      <x:c r="M46" s="92"/>
      <x:c r="N46" s="95"/>
      <x:c r="O46" s="101"/>
      <x:c r="P46" s="101"/>
      <x:c r="Q46" s="101"/>
      <x:c r="R46" s="104" t="str">
        <x:f>IF(OR(P46="",D46=""),"",P46+IFERROR(VLOOKUP(D46,'Cấu hình'!$E$12:$G$15,3,FALSE),0))</x:f>
      </x:c>
      <x:c r="S46" s="101"/>
      <x:c r="T46" s="107"/>
      <x:c r="U46" s="113" t="str">
        <x:f>IF(A46="","",IF(S46&lt;&gt;"",0,IF(I46&lt;&gt;"",I46-TODAY(),IF(R46&lt;&gt;"",R46-TODAY(),""))))</x:f>
      </x:c>
      <x:c r="V46" s="113" t="str">
        <x:f>IF(A46="","",IF(S46&lt;&gt;"",MAX(0,S46-IF(I46&lt;&gt;"",I46,R46)),IF(OR(I46&lt;&gt;"",R46&lt;&gt;""),MAX(0,TODAY()-IF(I46&lt;&gt;"",I46,R46)),0)))</x:f>
      </x:c>
      <x:c r="W46" s="95"/>
      <x:c r="X46" s="95"/>
      <x:c r="Y46" s="92"/>
      <x:c r="Z46" s="92"/>
      <x:c r="AA46" s="92"/>
      <x:c r="AB46" s="92"/>
      <x:c r="AC46" s="113" t="str">
        <x:f>IF(A46="","",IF(P46="","",IF(S46&lt;&gt;"",S46-P46,TODAY()-P46)))</x:f>
      </x:c>
    </x:row>
    <x:row r="47" ht="28" customHeight="1">
      <x:c r="A47" s="92"/>
      <x:c r="B47" s="95"/>
      <x:c r="C47" s="92"/>
      <x:c r="D47" s="92"/>
      <x:c r="E47" s="92"/>
      <x:c r="F47" s="92"/>
      <x:c r="G47" s="92"/>
      <x:c r="H47" s="92"/>
      <x:c r="I47" s="101"/>
      <x:c r="J47" s="107"/>
      <x:c r="K47" s="110" t="str">
        <x:f>IF(A47="","",IFERROR(VLOOKUP(C47,'Cấu hình'!$A$12:$D$19,2,FALSE),0))</x:f>
      </x:c>
      <x:c r="L47" s="92"/>
      <x:c r="M47" s="92"/>
      <x:c r="N47" s="95"/>
      <x:c r="O47" s="101"/>
      <x:c r="P47" s="101"/>
      <x:c r="Q47" s="101"/>
      <x:c r="R47" s="104" t="str">
        <x:f>IF(OR(P47="",D47=""),"",P47+IFERROR(VLOOKUP(D47,'Cấu hình'!$E$12:$G$15,3,FALSE),0))</x:f>
      </x:c>
      <x:c r="S47" s="101"/>
      <x:c r="T47" s="107"/>
      <x:c r="U47" s="113" t="str">
        <x:f>IF(A47="","",IF(S47&lt;&gt;"",0,IF(I47&lt;&gt;"",I47-TODAY(),IF(R47&lt;&gt;"",R47-TODAY(),""))))</x:f>
      </x:c>
      <x:c r="V47" s="113" t="str">
        <x:f>IF(A47="","",IF(S47&lt;&gt;"",MAX(0,S47-IF(I47&lt;&gt;"",I47,R47)),IF(OR(I47&lt;&gt;"",R47&lt;&gt;""),MAX(0,TODAY()-IF(I47&lt;&gt;"",I47,R47)),0)))</x:f>
      </x:c>
      <x:c r="W47" s="95"/>
      <x:c r="X47" s="95"/>
      <x:c r="Y47" s="92"/>
      <x:c r="Z47" s="92"/>
      <x:c r="AA47" s="92"/>
      <x:c r="AB47" s="92"/>
      <x:c r="AC47" s="113" t="str">
        <x:f>IF(A47="","",IF(P47="","",IF(S47&lt;&gt;"",S47-P47,TODAY()-P47)))</x:f>
      </x:c>
    </x:row>
    <x:row r="48" ht="28" customHeight="1">
      <x:c r="A48" s="92"/>
      <x:c r="B48" s="95"/>
      <x:c r="C48" s="92"/>
      <x:c r="D48" s="92"/>
      <x:c r="E48" s="92"/>
      <x:c r="F48" s="92"/>
      <x:c r="G48" s="92"/>
      <x:c r="H48" s="92"/>
      <x:c r="I48" s="101"/>
      <x:c r="J48" s="107"/>
      <x:c r="K48" s="110" t="str">
        <x:f>IF(A48="","",IFERROR(VLOOKUP(C48,'Cấu hình'!$A$12:$D$19,2,FALSE),0))</x:f>
      </x:c>
      <x:c r="L48" s="92"/>
      <x:c r="M48" s="92"/>
      <x:c r="N48" s="95"/>
      <x:c r="O48" s="101"/>
      <x:c r="P48" s="101"/>
      <x:c r="Q48" s="101"/>
      <x:c r="R48" s="104" t="str">
        <x:f>IF(OR(P48="",D48=""),"",P48+IFERROR(VLOOKUP(D48,'Cấu hình'!$E$12:$G$15,3,FALSE),0))</x:f>
      </x:c>
      <x:c r="S48" s="101"/>
      <x:c r="T48" s="107"/>
      <x:c r="U48" s="113" t="str">
        <x:f>IF(A48="","",IF(S48&lt;&gt;"",0,IF(I48&lt;&gt;"",I48-TODAY(),IF(R48&lt;&gt;"",R48-TODAY(),""))))</x:f>
      </x:c>
      <x:c r="V48" s="113" t="str">
        <x:f>IF(A48="","",IF(S48&lt;&gt;"",MAX(0,S48-IF(I48&lt;&gt;"",I48,R48)),IF(OR(I48&lt;&gt;"",R48&lt;&gt;""),MAX(0,TODAY()-IF(I48&lt;&gt;"",I48,R48)),0)))</x:f>
      </x:c>
      <x:c r="W48" s="95"/>
      <x:c r="X48" s="95"/>
      <x:c r="Y48" s="92"/>
      <x:c r="Z48" s="92"/>
      <x:c r="AA48" s="92"/>
      <x:c r="AB48" s="92"/>
      <x:c r="AC48" s="113" t="str">
        <x:f>IF(A48="","",IF(P48="","",IF(S48&lt;&gt;"",S48-P48,TODAY()-P48)))</x:f>
      </x:c>
    </x:row>
    <x:row r="49" ht="28" customHeight="1">
      <x:c r="A49" s="92"/>
      <x:c r="B49" s="95"/>
      <x:c r="C49" s="92"/>
      <x:c r="D49" s="92"/>
      <x:c r="E49" s="92"/>
      <x:c r="F49" s="92"/>
      <x:c r="G49" s="92"/>
      <x:c r="H49" s="92"/>
      <x:c r="I49" s="101"/>
      <x:c r="J49" s="107"/>
      <x:c r="K49" s="110" t="str">
        <x:f>IF(A49="","",IFERROR(VLOOKUP(C49,'Cấu hình'!$A$12:$D$19,2,FALSE),0))</x:f>
      </x:c>
      <x:c r="L49" s="92"/>
      <x:c r="M49" s="92"/>
      <x:c r="N49" s="95"/>
      <x:c r="O49" s="101"/>
      <x:c r="P49" s="101"/>
      <x:c r="Q49" s="101"/>
      <x:c r="R49" s="104" t="str">
        <x:f>IF(OR(P49="",D49=""),"",P49+IFERROR(VLOOKUP(D49,'Cấu hình'!$E$12:$G$15,3,FALSE),0))</x:f>
      </x:c>
      <x:c r="S49" s="101"/>
      <x:c r="T49" s="107"/>
      <x:c r="U49" s="113" t="str">
        <x:f>IF(A49="","",IF(S49&lt;&gt;"",0,IF(I49&lt;&gt;"",I49-TODAY(),IF(R49&lt;&gt;"",R49-TODAY(),""))))</x:f>
      </x:c>
      <x:c r="V49" s="113" t="str">
        <x:f>IF(A49="","",IF(S49&lt;&gt;"",MAX(0,S49-IF(I49&lt;&gt;"",I49,R49)),IF(OR(I49&lt;&gt;"",R49&lt;&gt;""),MAX(0,TODAY()-IF(I49&lt;&gt;"",I49,R49)),0)))</x:f>
      </x:c>
      <x:c r="W49" s="95"/>
      <x:c r="X49" s="95"/>
      <x:c r="Y49" s="92"/>
      <x:c r="Z49" s="92"/>
      <x:c r="AA49" s="92"/>
      <x:c r="AB49" s="92"/>
      <x:c r="AC49" s="113" t="str">
        <x:f>IF(A49="","",IF(P49="","",IF(S49&lt;&gt;"",S49-P49,TODAY()-P49)))</x:f>
      </x:c>
    </x:row>
    <x:row r="50" ht="28" customHeight="1">
      <x:c r="A50" s="92"/>
      <x:c r="B50" s="95"/>
      <x:c r="C50" s="92"/>
      <x:c r="D50" s="92"/>
      <x:c r="E50" s="92"/>
      <x:c r="F50" s="92"/>
      <x:c r="G50" s="92"/>
      <x:c r="H50" s="92"/>
      <x:c r="I50" s="101"/>
      <x:c r="J50" s="107"/>
      <x:c r="K50" s="110" t="str">
        <x:f>IF(A50="","",IFERROR(VLOOKUP(C50,'Cấu hình'!$A$12:$D$19,2,FALSE),0))</x:f>
      </x:c>
      <x:c r="L50" s="92"/>
      <x:c r="M50" s="92"/>
      <x:c r="N50" s="95"/>
      <x:c r="O50" s="101"/>
      <x:c r="P50" s="101"/>
      <x:c r="Q50" s="101"/>
      <x:c r="R50" s="104" t="str">
        <x:f>IF(OR(P50="",D50=""),"",P50+IFERROR(VLOOKUP(D50,'Cấu hình'!$E$12:$G$15,3,FALSE),0))</x:f>
      </x:c>
      <x:c r="S50" s="101"/>
      <x:c r="T50" s="107"/>
      <x:c r="U50" s="113" t="str">
        <x:f>IF(A50="","",IF(S50&lt;&gt;"",0,IF(I50&lt;&gt;"",I50-TODAY(),IF(R50&lt;&gt;"",R50-TODAY(),""))))</x:f>
      </x:c>
      <x:c r="V50" s="113" t="str">
        <x:f>IF(A50="","",IF(S50&lt;&gt;"",MAX(0,S50-IF(I50&lt;&gt;"",I50,R50)),IF(OR(I50&lt;&gt;"",R50&lt;&gt;""),MAX(0,TODAY()-IF(I50&lt;&gt;"",I50,R50)),0)))</x:f>
      </x:c>
      <x:c r="W50" s="95"/>
      <x:c r="X50" s="95"/>
      <x:c r="Y50" s="92"/>
      <x:c r="Z50" s="92"/>
      <x:c r="AA50" s="92"/>
      <x:c r="AB50" s="92"/>
      <x:c r="AC50" s="113" t="str">
        <x:f>IF(A50="","",IF(P50="","",IF(S50&lt;&gt;"",S50-P50,TODAY()-P50)))</x:f>
      </x:c>
    </x:row>
    <x:row r="51" ht="28" customHeight="1">
      <x:c r="A51" s="92"/>
      <x:c r="B51" s="95"/>
      <x:c r="C51" s="92"/>
      <x:c r="D51" s="92"/>
      <x:c r="E51" s="92"/>
      <x:c r="F51" s="92"/>
      <x:c r="G51" s="92"/>
      <x:c r="H51" s="92"/>
      <x:c r="I51" s="101"/>
      <x:c r="J51" s="107"/>
      <x:c r="K51" s="110" t="str">
        <x:f>IF(A51="","",IFERROR(VLOOKUP(C51,'Cấu hình'!$A$12:$D$19,2,FALSE),0))</x:f>
      </x:c>
      <x:c r="L51" s="92"/>
      <x:c r="M51" s="92"/>
      <x:c r="N51" s="95"/>
      <x:c r="O51" s="101"/>
      <x:c r="P51" s="101"/>
      <x:c r="Q51" s="101"/>
      <x:c r="R51" s="104" t="str">
        <x:f>IF(OR(P51="",D51=""),"",P51+IFERROR(VLOOKUP(D51,'Cấu hình'!$E$12:$G$15,3,FALSE),0))</x:f>
      </x:c>
      <x:c r="S51" s="101"/>
      <x:c r="T51" s="107"/>
      <x:c r="U51" s="113" t="str">
        <x:f>IF(A51="","",IF(S51&lt;&gt;"",0,IF(I51&lt;&gt;"",I51-TODAY(),IF(R51&lt;&gt;"",R51-TODAY(),""))))</x:f>
      </x:c>
      <x:c r="V51" s="113" t="str">
        <x:f>IF(A51="","",IF(S51&lt;&gt;"",MAX(0,S51-IF(I51&lt;&gt;"",I51,R51)),IF(OR(I51&lt;&gt;"",R51&lt;&gt;""),MAX(0,TODAY()-IF(I51&lt;&gt;"",I51,R51)),0)))</x:f>
      </x:c>
      <x:c r="W51" s="95"/>
      <x:c r="X51" s="95"/>
      <x:c r="Y51" s="92"/>
      <x:c r="Z51" s="92"/>
      <x:c r="AA51" s="92"/>
      <x:c r="AB51" s="92"/>
      <x:c r="AC51" s="113" t="str">
        <x:f>IF(A51="","",IF(P51="","",IF(S51&lt;&gt;"",S51-P51,TODAY()-P51)))</x:f>
      </x:c>
    </x:row>
    <x:row r="52" ht="28" customHeight="1">
      <x:c r="A52" s="92"/>
      <x:c r="B52" s="95"/>
      <x:c r="C52" s="92"/>
      <x:c r="D52" s="92"/>
      <x:c r="E52" s="92"/>
      <x:c r="F52" s="92"/>
      <x:c r="G52" s="92"/>
      <x:c r="H52" s="92"/>
      <x:c r="I52" s="101"/>
      <x:c r="J52" s="107"/>
      <x:c r="K52" s="110" t="str">
        <x:f>IF(A52="","",IFERROR(VLOOKUP(C52,'Cấu hình'!$A$12:$D$19,2,FALSE),0))</x:f>
      </x:c>
      <x:c r="L52" s="92"/>
      <x:c r="M52" s="92"/>
      <x:c r="N52" s="95"/>
      <x:c r="O52" s="101"/>
      <x:c r="P52" s="101"/>
      <x:c r="Q52" s="101"/>
      <x:c r="R52" s="104" t="str">
        <x:f>IF(OR(P52="",D52=""),"",P52+IFERROR(VLOOKUP(D52,'Cấu hình'!$E$12:$G$15,3,FALSE),0))</x:f>
      </x:c>
      <x:c r="S52" s="101"/>
      <x:c r="T52" s="107"/>
      <x:c r="U52" s="113" t="str">
        <x:f>IF(A52="","",IF(S52&lt;&gt;"",0,IF(I52&lt;&gt;"",I52-TODAY(),IF(R52&lt;&gt;"",R52-TODAY(),""))))</x:f>
      </x:c>
      <x:c r="V52" s="113" t="str">
        <x:f>IF(A52="","",IF(S52&lt;&gt;"",MAX(0,S52-IF(I52&lt;&gt;"",I52,R52)),IF(OR(I52&lt;&gt;"",R52&lt;&gt;""),MAX(0,TODAY()-IF(I52&lt;&gt;"",I52,R52)),0)))</x:f>
      </x:c>
      <x:c r="W52" s="95"/>
      <x:c r="X52" s="95"/>
      <x:c r="Y52" s="92"/>
      <x:c r="Z52" s="92"/>
      <x:c r="AA52" s="92"/>
      <x:c r="AB52" s="92"/>
      <x:c r="AC52" s="113" t="str">
        <x:f>IF(A52="","",IF(P52="","",IF(S52&lt;&gt;"",S52-P52,TODAY()-P52)))</x:f>
      </x:c>
    </x:row>
    <x:row r="53" ht="28" customHeight="1">
      <x:c r="A53" s="92"/>
      <x:c r="B53" s="95"/>
      <x:c r="C53" s="92"/>
      <x:c r="D53" s="92"/>
      <x:c r="E53" s="92"/>
      <x:c r="F53" s="92"/>
      <x:c r="G53" s="92"/>
      <x:c r="H53" s="92"/>
      <x:c r="I53" s="101"/>
      <x:c r="J53" s="107"/>
      <x:c r="K53" s="110" t="str">
        <x:f>IF(A53="","",IFERROR(VLOOKUP(C53,'Cấu hình'!$A$12:$D$19,2,FALSE),0))</x:f>
      </x:c>
      <x:c r="L53" s="92"/>
      <x:c r="M53" s="92"/>
      <x:c r="N53" s="95"/>
      <x:c r="O53" s="101"/>
      <x:c r="P53" s="101"/>
      <x:c r="Q53" s="101"/>
      <x:c r="R53" s="104" t="str">
        <x:f>IF(OR(P53="",D53=""),"",P53+IFERROR(VLOOKUP(D53,'Cấu hình'!$E$12:$G$15,3,FALSE),0))</x:f>
      </x:c>
      <x:c r="S53" s="101"/>
      <x:c r="T53" s="107"/>
      <x:c r="U53" s="113" t="str">
        <x:f>IF(A53="","",IF(S53&lt;&gt;"",0,IF(I53&lt;&gt;"",I53-TODAY(),IF(R53&lt;&gt;"",R53-TODAY(),""))))</x:f>
      </x:c>
      <x:c r="V53" s="113" t="str">
        <x:f>IF(A53="","",IF(S53&lt;&gt;"",MAX(0,S53-IF(I53&lt;&gt;"",I53,R53)),IF(OR(I53&lt;&gt;"",R53&lt;&gt;""),MAX(0,TODAY()-IF(I53&lt;&gt;"",I53,R53)),0)))</x:f>
      </x:c>
      <x:c r="W53" s="95"/>
      <x:c r="X53" s="95"/>
      <x:c r="Y53" s="92"/>
      <x:c r="Z53" s="92"/>
      <x:c r="AA53" s="92"/>
      <x:c r="AB53" s="92"/>
      <x:c r="AC53" s="113" t="str">
        <x:f>IF(A53="","",IF(P53="","",IF(S53&lt;&gt;"",S53-P53,TODAY()-P53)))</x:f>
      </x:c>
    </x:row>
    <x:row r="54" ht="28" customHeight="1">
      <x:c r="A54" s="92"/>
      <x:c r="B54" s="95"/>
      <x:c r="C54" s="92"/>
      <x:c r="D54" s="92"/>
      <x:c r="E54" s="92"/>
      <x:c r="F54" s="92"/>
      <x:c r="G54" s="92"/>
      <x:c r="H54" s="92"/>
      <x:c r="I54" s="101"/>
      <x:c r="J54" s="107"/>
      <x:c r="K54" s="110" t="str">
        <x:f>IF(A54="","",IFERROR(VLOOKUP(C54,'Cấu hình'!$A$12:$D$19,2,FALSE),0))</x:f>
      </x:c>
      <x:c r="L54" s="92"/>
      <x:c r="M54" s="92"/>
      <x:c r="N54" s="95"/>
      <x:c r="O54" s="101"/>
      <x:c r="P54" s="101"/>
      <x:c r="Q54" s="101"/>
      <x:c r="R54" s="104" t="str">
        <x:f>IF(OR(P54="",D54=""),"",P54+IFERROR(VLOOKUP(D54,'Cấu hình'!$E$12:$G$15,3,FALSE),0))</x:f>
      </x:c>
      <x:c r="S54" s="101"/>
      <x:c r="T54" s="107"/>
      <x:c r="U54" s="113" t="str">
        <x:f>IF(A54="","",IF(S54&lt;&gt;"",0,IF(I54&lt;&gt;"",I54-TODAY(),IF(R54&lt;&gt;"",R54-TODAY(),""))))</x:f>
      </x:c>
      <x:c r="V54" s="113" t="str">
        <x:f>IF(A54="","",IF(S54&lt;&gt;"",MAX(0,S54-IF(I54&lt;&gt;"",I54,R54)),IF(OR(I54&lt;&gt;"",R54&lt;&gt;""),MAX(0,TODAY()-IF(I54&lt;&gt;"",I54,R54)),0)))</x:f>
      </x:c>
      <x:c r="W54" s="95"/>
      <x:c r="X54" s="95"/>
      <x:c r="Y54" s="92"/>
      <x:c r="Z54" s="92"/>
      <x:c r="AA54" s="92"/>
      <x:c r="AB54" s="92"/>
      <x:c r="AC54" s="113" t="str">
        <x:f>IF(A54="","",IF(P54="","",IF(S54&lt;&gt;"",S54-P54,TODAY()-P54)))</x:f>
      </x:c>
    </x:row>
    <x:row r="55" ht="28" customHeight="1">
      <x:c r="A55" s="92"/>
      <x:c r="B55" s="95"/>
      <x:c r="C55" s="92"/>
      <x:c r="D55" s="92"/>
      <x:c r="E55" s="92"/>
      <x:c r="F55" s="92"/>
      <x:c r="G55" s="92"/>
      <x:c r="H55" s="92"/>
      <x:c r="I55" s="101"/>
      <x:c r="J55" s="107"/>
      <x:c r="K55" s="110" t="str">
        <x:f>IF(A55="","",IFERROR(VLOOKUP(C55,'Cấu hình'!$A$12:$D$19,2,FALSE),0))</x:f>
      </x:c>
      <x:c r="L55" s="92"/>
      <x:c r="M55" s="92"/>
      <x:c r="N55" s="95"/>
      <x:c r="O55" s="101"/>
      <x:c r="P55" s="101"/>
      <x:c r="Q55" s="101"/>
      <x:c r="R55" s="104" t="str">
        <x:f>IF(OR(P55="",D55=""),"",P55+IFERROR(VLOOKUP(D55,'Cấu hình'!$E$12:$G$15,3,FALSE),0))</x:f>
      </x:c>
      <x:c r="S55" s="101"/>
      <x:c r="T55" s="107"/>
      <x:c r="U55" s="113" t="str">
        <x:f>IF(A55="","",IF(S55&lt;&gt;"",0,IF(I55&lt;&gt;"",I55-TODAY(),IF(R55&lt;&gt;"",R55-TODAY(),""))))</x:f>
      </x:c>
      <x:c r="V55" s="113" t="str">
        <x:f>IF(A55="","",IF(S55&lt;&gt;"",MAX(0,S55-IF(I55&lt;&gt;"",I55,R55)),IF(OR(I55&lt;&gt;"",R55&lt;&gt;""),MAX(0,TODAY()-IF(I55&lt;&gt;"",I55,R55)),0)))</x:f>
      </x:c>
      <x:c r="W55" s="95"/>
      <x:c r="X55" s="95"/>
      <x:c r="Y55" s="92"/>
      <x:c r="Z55" s="92"/>
      <x:c r="AA55" s="92"/>
      <x:c r="AB55" s="92"/>
      <x:c r="AC55" s="113" t="str">
        <x:f>IF(A55="","",IF(P55="","",IF(S55&lt;&gt;"",S55-P55,TODAY()-P55)))</x:f>
      </x:c>
    </x:row>
    <x:row r="56" ht="28" customHeight="1">
      <x:c r="A56" s="92"/>
      <x:c r="B56" s="95"/>
      <x:c r="C56" s="92"/>
      <x:c r="D56" s="92"/>
      <x:c r="E56" s="92"/>
      <x:c r="F56" s="92"/>
      <x:c r="G56" s="92"/>
      <x:c r="H56" s="92"/>
      <x:c r="I56" s="101"/>
      <x:c r="J56" s="107"/>
      <x:c r="K56" s="110" t="str">
        <x:f>IF(A56="","",IFERROR(VLOOKUP(C56,'Cấu hình'!$A$12:$D$19,2,FALSE),0))</x:f>
      </x:c>
      <x:c r="L56" s="92"/>
      <x:c r="M56" s="92"/>
      <x:c r="N56" s="95"/>
      <x:c r="O56" s="101"/>
      <x:c r="P56" s="101"/>
      <x:c r="Q56" s="101"/>
      <x:c r="R56" s="104" t="str">
        <x:f>IF(OR(P56="",D56=""),"",P56+IFERROR(VLOOKUP(D56,'Cấu hình'!$E$12:$G$15,3,FALSE),0))</x:f>
      </x:c>
      <x:c r="S56" s="101"/>
      <x:c r="T56" s="107"/>
      <x:c r="U56" s="113" t="str">
        <x:f>IF(A56="","",IF(S56&lt;&gt;"",0,IF(I56&lt;&gt;"",I56-TODAY(),IF(R56&lt;&gt;"",R56-TODAY(),""))))</x:f>
      </x:c>
      <x:c r="V56" s="113" t="str">
        <x:f>IF(A56="","",IF(S56&lt;&gt;"",MAX(0,S56-IF(I56&lt;&gt;"",I56,R56)),IF(OR(I56&lt;&gt;"",R56&lt;&gt;""),MAX(0,TODAY()-IF(I56&lt;&gt;"",I56,R56)),0)))</x:f>
      </x:c>
      <x:c r="W56" s="95"/>
      <x:c r="X56" s="95"/>
      <x:c r="Y56" s="92"/>
      <x:c r="Z56" s="92"/>
      <x:c r="AA56" s="92"/>
      <x:c r="AB56" s="92"/>
      <x:c r="AC56" s="113" t="str">
        <x:f>IF(A56="","",IF(P56="","",IF(S56&lt;&gt;"",S56-P56,TODAY()-P56)))</x:f>
      </x:c>
    </x:row>
    <x:row r="57" ht="28" customHeight="1">
      <x:c r="A57" s="92"/>
      <x:c r="B57" s="95"/>
      <x:c r="C57" s="92"/>
      <x:c r="D57" s="92"/>
      <x:c r="E57" s="92"/>
      <x:c r="F57" s="92"/>
      <x:c r="G57" s="92"/>
      <x:c r="H57" s="92"/>
      <x:c r="I57" s="101"/>
      <x:c r="J57" s="107"/>
      <x:c r="K57" s="110" t="str">
        <x:f>IF(A57="","",IFERROR(VLOOKUP(C57,'Cấu hình'!$A$12:$D$19,2,FALSE),0))</x:f>
      </x:c>
      <x:c r="L57" s="92"/>
      <x:c r="M57" s="92"/>
      <x:c r="N57" s="95"/>
      <x:c r="O57" s="101"/>
      <x:c r="P57" s="101"/>
      <x:c r="Q57" s="101"/>
      <x:c r="R57" s="104" t="str">
        <x:f>IF(OR(P57="",D57=""),"",P57+IFERROR(VLOOKUP(D57,'Cấu hình'!$E$12:$G$15,3,FALSE),0))</x:f>
      </x:c>
      <x:c r="S57" s="101"/>
      <x:c r="T57" s="107"/>
      <x:c r="U57" s="113" t="str">
        <x:f>IF(A57="","",IF(S57&lt;&gt;"",0,IF(I57&lt;&gt;"",I57-TODAY(),IF(R57&lt;&gt;"",R57-TODAY(),""))))</x:f>
      </x:c>
      <x:c r="V57" s="113" t="str">
        <x:f>IF(A57="","",IF(S57&lt;&gt;"",MAX(0,S57-IF(I57&lt;&gt;"",I57,R57)),IF(OR(I57&lt;&gt;"",R57&lt;&gt;""),MAX(0,TODAY()-IF(I57&lt;&gt;"",I57,R57)),0)))</x:f>
      </x:c>
      <x:c r="W57" s="95"/>
      <x:c r="X57" s="95"/>
      <x:c r="Y57" s="92"/>
      <x:c r="Z57" s="92"/>
      <x:c r="AA57" s="92"/>
      <x:c r="AB57" s="92"/>
      <x:c r="AC57" s="113" t="str">
        <x:f>IF(A57="","",IF(P57="","",IF(S57&lt;&gt;"",S57-P57,TODAY()-P57)))</x:f>
      </x:c>
    </x:row>
    <x:row r="58" ht="28" customHeight="1">
      <x:c r="A58" s="92"/>
      <x:c r="B58" s="95"/>
      <x:c r="C58" s="92"/>
      <x:c r="D58" s="92"/>
      <x:c r="E58" s="92"/>
      <x:c r="F58" s="92"/>
      <x:c r="G58" s="92"/>
      <x:c r="H58" s="92"/>
      <x:c r="I58" s="101"/>
      <x:c r="J58" s="107"/>
      <x:c r="K58" s="110" t="str">
        <x:f>IF(A58="","",IFERROR(VLOOKUP(C58,'Cấu hình'!$A$12:$D$19,2,FALSE),0))</x:f>
      </x:c>
      <x:c r="L58" s="92"/>
      <x:c r="M58" s="92"/>
      <x:c r="N58" s="95"/>
      <x:c r="O58" s="101"/>
      <x:c r="P58" s="101"/>
      <x:c r="Q58" s="101"/>
      <x:c r="R58" s="104" t="str">
        <x:f>IF(OR(P58="",D58=""),"",P58+IFERROR(VLOOKUP(D58,'Cấu hình'!$E$12:$G$15,3,FALSE),0))</x:f>
      </x:c>
      <x:c r="S58" s="101"/>
      <x:c r="T58" s="107"/>
      <x:c r="U58" s="113" t="str">
        <x:f>IF(A58="","",IF(S58&lt;&gt;"",0,IF(I58&lt;&gt;"",I58-TODAY(),IF(R58&lt;&gt;"",R58-TODAY(),""))))</x:f>
      </x:c>
      <x:c r="V58" s="113" t="str">
        <x:f>IF(A58="","",IF(S58&lt;&gt;"",MAX(0,S58-IF(I58&lt;&gt;"",I58,R58)),IF(OR(I58&lt;&gt;"",R58&lt;&gt;""),MAX(0,TODAY()-IF(I58&lt;&gt;"",I58,R58)),0)))</x:f>
      </x:c>
      <x:c r="W58" s="95"/>
      <x:c r="X58" s="95"/>
      <x:c r="Y58" s="92"/>
      <x:c r="Z58" s="92"/>
      <x:c r="AA58" s="92"/>
      <x:c r="AB58" s="92"/>
      <x:c r="AC58" s="113" t="str">
        <x:f>IF(A58="","",IF(P58="","",IF(S58&lt;&gt;"",S58-P58,TODAY()-P58)))</x:f>
      </x:c>
    </x:row>
    <x:row r="59" ht="28" customHeight="1">
      <x:c r="A59" s="92"/>
      <x:c r="B59" s="95"/>
      <x:c r="C59" s="92"/>
      <x:c r="D59" s="92"/>
      <x:c r="E59" s="92"/>
      <x:c r="F59" s="92"/>
      <x:c r="G59" s="92"/>
      <x:c r="H59" s="92"/>
      <x:c r="I59" s="101"/>
      <x:c r="J59" s="107"/>
      <x:c r="K59" s="110" t="str">
        <x:f>IF(A59="","",IFERROR(VLOOKUP(C59,'Cấu hình'!$A$12:$D$19,2,FALSE),0))</x:f>
      </x:c>
      <x:c r="L59" s="92"/>
      <x:c r="M59" s="92"/>
      <x:c r="N59" s="95"/>
      <x:c r="O59" s="101"/>
      <x:c r="P59" s="101"/>
      <x:c r="Q59" s="101"/>
      <x:c r="R59" s="104" t="str">
        <x:f>IF(OR(P59="",D59=""),"",P59+IFERROR(VLOOKUP(D59,'Cấu hình'!$E$12:$G$15,3,FALSE),0))</x:f>
      </x:c>
      <x:c r="S59" s="101"/>
      <x:c r="T59" s="107"/>
      <x:c r="U59" s="113" t="str">
        <x:f>IF(A59="","",IF(S59&lt;&gt;"",0,IF(I59&lt;&gt;"",I59-TODAY(),IF(R59&lt;&gt;"",R59-TODAY(),""))))</x:f>
      </x:c>
      <x:c r="V59" s="113" t="str">
        <x:f>IF(A59="","",IF(S59&lt;&gt;"",MAX(0,S59-IF(I59&lt;&gt;"",I59,R59)),IF(OR(I59&lt;&gt;"",R59&lt;&gt;""),MAX(0,TODAY()-IF(I59&lt;&gt;"",I59,R59)),0)))</x:f>
      </x:c>
      <x:c r="W59" s="95"/>
      <x:c r="X59" s="95"/>
      <x:c r="Y59" s="92"/>
      <x:c r="Z59" s="92"/>
      <x:c r="AA59" s="92"/>
      <x:c r="AB59" s="92"/>
      <x:c r="AC59" s="113" t="str">
        <x:f>IF(A59="","",IF(P59="","",IF(S59&lt;&gt;"",S59-P59,TODAY()-P59)))</x:f>
      </x:c>
    </x:row>
    <x:row r="60" ht="28" customHeight="1">
      <x:c r="A60" s="92"/>
      <x:c r="B60" s="95"/>
      <x:c r="C60" s="92"/>
      <x:c r="D60" s="92"/>
      <x:c r="E60" s="92"/>
      <x:c r="F60" s="92"/>
      <x:c r="G60" s="92"/>
      <x:c r="H60" s="92"/>
      <x:c r="I60" s="101"/>
      <x:c r="J60" s="107"/>
      <x:c r="K60" s="110" t="str">
        <x:f>IF(A60="","",IFERROR(VLOOKUP(C60,'Cấu hình'!$A$12:$D$19,2,FALSE),0))</x:f>
      </x:c>
      <x:c r="L60" s="92"/>
      <x:c r="M60" s="92"/>
      <x:c r="N60" s="95"/>
      <x:c r="O60" s="101"/>
      <x:c r="P60" s="101"/>
      <x:c r="Q60" s="101"/>
      <x:c r="R60" s="104" t="str">
        <x:f>IF(OR(P60="",D60=""),"",P60+IFERROR(VLOOKUP(D60,'Cấu hình'!$E$12:$G$15,3,FALSE),0))</x:f>
      </x:c>
      <x:c r="S60" s="101"/>
      <x:c r="T60" s="107"/>
      <x:c r="U60" s="113" t="str">
        <x:f>IF(A60="","",IF(S60&lt;&gt;"",0,IF(I60&lt;&gt;"",I60-TODAY(),IF(R60&lt;&gt;"",R60-TODAY(),""))))</x:f>
      </x:c>
      <x:c r="V60" s="113" t="str">
        <x:f>IF(A60="","",IF(S60&lt;&gt;"",MAX(0,S60-IF(I60&lt;&gt;"",I60,R60)),IF(OR(I60&lt;&gt;"",R60&lt;&gt;""),MAX(0,TODAY()-IF(I60&lt;&gt;"",I60,R60)),0)))</x:f>
      </x:c>
      <x:c r="W60" s="95"/>
      <x:c r="X60" s="95"/>
      <x:c r="Y60" s="92"/>
      <x:c r="Z60" s="92"/>
      <x:c r="AA60" s="92"/>
      <x:c r="AB60" s="92"/>
      <x:c r="AC60" s="113" t="str">
        <x:f>IF(A60="","",IF(P60="","",IF(S60&lt;&gt;"",S60-P60,TODAY()-P60)))</x:f>
      </x:c>
    </x:row>
    <x:row r="61" ht="28" customHeight="1">
      <x:c r="A61" s="92"/>
      <x:c r="B61" s="95"/>
      <x:c r="C61" s="92"/>
      <x:c r="D61" s="92"/>
      <x:c r="E61" s="92"/>
      <x:c r="F61" s="92"/>
      <x:c r="G61" s="92"/>
      <x:c r="H61" s="92"/>
      <x:c r="I61" s="101"/>
      <x:c r="J61" s="107"/>
      <x:c r="K61" s="110" t="str">
        <x:f>IF(A61="","",IFERROR(VLOOKUP(C61,'Cấu hình'!$A$12:$D$19,2,FALSE),0))</x:f>
      </x:c>
      <x:c r="L61" s="92"/>
      <x:c r="M61" s="92"/>
      <x:c r="N61" s="95"/>
      <x:c r="O61" s="101"/>
      <x:c r="P61" s="101"/>
      <x:c r="Q61" s="101"/>
      <x:c r="R61" s="104" t="str">
        <x:f>IF(OR(P61="",D61=""),"",P61+IFERROR(VLOOKUP(D61,'Cấu hình'!$E$12:$G$15,3,FALSE),0))</x:f>
      </x:c>
      <x:c r="S61" s="101"/>
      <x:c r="T61" s="107"/>
      <x:c r="U61" s="113" t="str">
        <x:f>IF(A61="","",IF(S61&lt;&gt;"",0,IF(I61&lt;&gt;"",I61-TODAY(),IF(R61&lt;&gt;"",R61-TODAY(),""))))</x:f>
      </x:c>
      <x:c r="V61" s="113" t="str">
        <x:f>IF(A61="","",IF(S61&lt;&gt;"",MAX(0,S61-IF(I61&lt;&gt;"",I61,R61)),IF(OR(I61&lt;&gt;"",R61&lt;&gt;""),MAX(0,TODAY()-IF(I61&lt;&gt;"",I61,R61)),0)))</x:f>
      </x:c>
      <x:c r="W61" s="95"/>
      <x:c r="X61" s="95"/>
      <x:c r="Y61" s="92"/>
      <x:c r="Z61" s="92"/>
      <x:c r="AA61" s="92"/>
      <x:c r="AB61" s="92"/>
      <x:c r="AC61" s="113" t="str">
        <x:f>IF(A61="","",IF(P61="","",IF(S61&lt;&gt;"",S61-P61,TODAY()-P61)))</x:f>
      </x:c>
    </x:row>
    <x:row r="62" ht="28" customHeight="1">
      <x:c r="A62" s="92"/>
      <x:c r="B62" s="95"/>
      <x:c r="C62" s="92"/>
      <x:c r="D62" s="92"/>
      <x:c r="E62" s="92"/>
      <x:c r="F62" s="92"/>
      <x:c r="G62" s="92"/>
      <x:c r="H62" s="92"/>
      <x:c r="I62" s="101"/>
      <x:c r="J62" s="107"/>
      <x:c r="K62" s="110" t="str">
        <x:f>IF(A62="","",IFERROR(VLOOKUP(C62,'Cấu hình'!$A$12:$D$19,2,FALSE),0))</x:f>
      </x:c>
      <x:c r="L62" s="92"/>
      <x:c r="M62" s="92"/>
      <x:c r="N62" s="95"/>
      <x:c r="O62" s="101"/>
      <x:c r="P62" s="101"/>
      <x:c r="Q62" s="101"/>
      <x:c r="R62" s="104" t="str">
        <x:f>IF(OR(P62="",D62=""),"",P62+IFERROR(VLOOKUP(D62,'Cấu hình'!$E$12:$G$15,3,FALSE),0))</x:f>
      </x:c>
      <x:c r="S62" s="101"/>
      <x:c r="T62" s="107"/>
      <x:c r="U62" s="113" t="str">
        <x:f>IF(A62="","",IF(S62&lt;&gt;"",0,IF(I62&lt;&gt;"",I62-TODAY(),IF(R62&lt;&gt;"",R62-TODAY(),""))))</x:f>
      </x:c>
      <x:c r="V62" s="113" t="str">
        <x:f>IF(A62="","",IF(S62&lt;&gt;"",MAX(0,S62-IF(I62&lt;&gt;"",I62,R62)),IF(OR(I62&lt;&gt;"",R62&lt;&gt;""),MAX(0,TODAY()-IF(I62&lt;&gt;"",I62,R62)),0)))</x:f>
      </x:c>
      <x:c r="W62" s="95"/>
      <x:c r="X62" s="95"/>
      <x:c r="Y62" s="92"/>
      <x:c r="Z62" s="92"/>
      <x:c r="AA62" s="92"/>
      <x:c r="AB62" s="92"/>
      <x:c r="AC62" s="113" t="str">
        <x:f>IF(A62="","",IF(P62="","",IF(S62&lt;&gt;"",S62-P62,TODAY()-P62)))</x:f>
      </x:c>
    </x:row>
    <x:row r="63" ht="28" customHeight="1">
      <x:c r="A63" s="92"/>
      <x:c r="B63" s="95"/>
      <x:c r="C63" s="92"/>
      <x:c r="D63" s="92"/>
      <x:c r="E63" s="92"/>
      <x:c r="F63" s="92"/>
      <x:c r="G63" s="92"/>
      <x:c r="H63" s="92"/>
      <x:c r="I63" s="101"/>
      <x:c r="J63" s="107"/>
      <x:c r="K63" s="110" t="str">
        <x:f>IF(A63="","",IFERROR(VLOOKUP(C63,'Cấu hình'!$A$12:$D$19,2,FALSE),0))</x:f>
      </x:c>
      <x:c r="L63" s="92"/>
      <x:c r="M63" s="92"/>
      <x:c r="N63" s="95"/>
      <x:c r="O63" s="101"/>
      <x:c r="P63" s="101"/>
      <x:c r="Q63" s="101"/>
      <x:c r="R63" s="104" t="str">
        <x:f>IF(OR(P63="",D63=""),"",P63+IFERROR(VLOOKUP(D63,'Cấu hình'!$E$12:$G$15,3,FALSE),0))</x:f>
      </x:c>
      <x:c r="S63" s="101"/>
      <x:c r="T63" s="107"/>
      <x:c r="U63" s="113" t="str">
        <x:f>IF(A63="","",IF(S63&lt;&gt;"",0,IF(I63&lt;&gt;"",I63-TODAY(),IF(R63&lt;&gt;"",R63-TODAY(),""))))</x:f>
      </x:c>
      <x:c r="V63" s="113" t="str">
        <x:f>IF(A63="","",IF(S63&lt;&gt;"",MAX(0,S63-IF(I63&lt;&gt;"",I63,R63)),IF(OR(I63&lt;&gt;"",R63&lt;&gt;""),MAX(0,TODAY()-IF(I63&lt;&gt;"",I63,R63)),0)))</x:f>
      </x:c>
      <x:c r="W63" s="95"/>
      <x:c r="X63" s="95"/>
      <x:c r="Y63" s="92"/>
      <x:c r="Z63" s="92"/>
      <x:c r="AA63" s="92"/>
      <x:c r="AB63" s="92"/>
      <x:c r="AC63" s="113" t="str">
        <x:f>IF(A63="","",IF(P63="","",IF(S63&lt;&gt;"",S63-P63,TODAY()-P63)))</x:f>
      </x:c>
    </x:row>
    <x:row r="64" ht="28" customHeight="1">
      <x:c r="A64" s="92"/>
      <x:c r="B64" s="95"/>
      <x:c r="C64" s="92"/>
      <x:c r="D64" s="92"/>
      <x:c r="E64" s="92"/>
      <x:c r="F64" s="92"/>
      <x:c r="G64" s="92"/>
      <x:c r="H64" s="92"/>
      <x:c r="I64" s="101"/>
      <x:c r="J64" s="107"/>
      <x:c r="K64" s="110" t="str">
        <x:f>IF(A64="","",IFERROR(VLOOKUP(C64,'Cấu hình'!$A$12:$D$19,2,FALSE),0))</x:f>
      </x:c>
      <x:c r="L64" s="92"/>
      <x:c r="M64" s="92"/>
      <x:c r="N64" s="95"/>
      <x:c r="O64" s="101"/>
      <x:c r="P64" s="101"/>
      <x:c r="Q64" s="101"/>
      <x:c r="R64" s="104" t="str">
        <x:f>IF(OR(P64="",D64=""),"",P64+IFERROR(VLOOKUP(D64,'Cấu hình'!$E$12:$G$15,3,FALSE),0))</x:f>
      </x:c>
      <x:c r="S64" s="101"/>
      <x:c r="T64" s="107"/>
      <x:c r="U64" s="113" t="str">
        <x:f>IF(A64="","",IF(S64&lt;&gt;"",0,IF(I64&lt;&gt;"",I64-TODAY(),IF(R64&lt;&gt;"",R64-TODAY(),""))))</x:f>
      </x:c>
      <x:c r="V64" s="113" t="str">
        <x:f>IF(A64="","",IF(S64&lt;&gt;"",MAX(0,S64-IF(I64&lt;&gt;"",I64,R64)),IF(OR(I64&lt;&gt;"",R64&lt;&gt;""),MAX(0,TODAY()-IF(I64&lt;&gt;"",I64,R64)),0)))</x:f>
      </x:c>
      <x:c r="W64" s="95"/>
      <x:c r="X64" s="95"/>
      <x:c r="Y64" s="92"/>
      <x:c r="Z64" s="92"/>
      <x:c r="AA64" s="92"/>
      <x:c r="AB64" s="92"/>
      <x:c r="AC64" s="113" t="str">
        <x:f>IF(A64="","",IF(P64="","",IF(S64&lt;&gt;"",S64-P64,TODAY()-P64)))</x:f>
      </x:c>
    </x:row>
    <x:row r="65" ht="28" customHeight="1">
      <x:c r="A65" s="92"/>
      <x:c r="B65" s="95"/>
      <x:c r="C65" s="92"/>
      <x:c r="D65" s="92"/>
      <x:c r="E65" s="92"/>
      <x:c r="F65" s="92"/>
      <x:c r="G65" s="92"/>
      <x:c r="H65" s="92"/>
      <x:c r="I65" s="101"/>
      <x:c r="J65" s="107"/>
      <x:c r="K65" s="110" t="str">
        <x:f>IF(A65="","",IFERROR(VLOOKUP(C65,'Cấu hình'!$A$12:$D$19,2,FALSE),0))</x:f>
      </x:c>
      <x:c r="L65" s="92"/>
      <x:c r="M65" s="92"/>
      <x:c r="N65" s="95"/>
      <x:c r="O65" s="101"/>
      <x:c r="P65" s="101"/>
      <x:c r="Q65" s="101"/>
      <x:c r="R65" s="104" t="str">
        <x:f>IF(OR(P65="",D65=""),"",P65+IFERROR(VLOOKUP(D65,'Cấu hình'!$E$12:$G$15,3,FALSE),0))</x:f>
      </x:c>
      <x:c r="S65" s="101"/>
      <x:c r="T65" s="107"/>
      <x:c r="U65" s="113" t="str">
        <x:f>IF(A65="","",IF(S65&lt;&gt;"",0,IF(I65&lt;&gt;"",I65-TODAY(),IF(R65&lt;&gt;"",R65-TODAY(),""))))</x:f>
      </x:c>
      <x:c r="V65" s="113" t="str">
        <x:f>IF(A65="","",IF(S65&lt;&gt;"",MAX(0,S65-IF(I65&lt;&gt;"",I65,R65)),IF(OR(I65&lt;&gt;"",R65&lt;&gt;""),MAX(0,TODAY()-IF(I65&lt;&gt;"",I65,R65)),0)))</x:f>
      </x:c>
      <x:c r="W65" s="95"/>
      <x:c r="X65" s="95"/>
      <x:c r="Y65" s="92"/>
      <x:c r="Z65" s="92"/>
      <x:c r="AA65" s="92"/>
      <x:c r="AB65" s="92"/>
      <x:c r="AC65" s="113" t="str">
        <x:f>IF(A65="","",IF(P65="","",IF(S65&lt;&gt;"",S65-P65,TODAY()-P65)))</x:f>
      </x:c>
    </x:row>
    <x:row r="66" ht="28" customHeight="1">
      <x:c r="A66" s="92"/>
      <x:c r="B66" s="95"/>
      <x:c r="C66" s="92"/>
      <x:c r="D66" s="92"/>
      <x:c r="E66" s="92"/>
      <x:c r="F66" s="92"/>
      <x:c r="G66" s="92"/>
      <x:c r="H66" s="92"/>
      <x:c r="I66" s="101"/>
      <x:c r="J66" s="107"/>
      <x:c r="K66" s="110" t="str">
        <x:f>IF(A66="","",IFERROR(VLOOKUP(C66,'Cấu hình'!$A$12:$D$19,2,FALSE),0))</x:f>
      </x:c>
      <x:c r="L66" s="92"/>
      <x:c r="M66" s="92"/>
      <x:c r="N66" s="95"/>
      <x:c r="O66" s="101"/>
      <x:c r="P66" s="101"/>
      <x:c r="Q66" s="101"/>
      <x:c r="R66" s="104" t="str">
        <x:f>IF(OR(P66="",D66=""),"",P66+IFERROR(VLOOKUP(D66,'Cấu hình'!$E$12:$G$15,3,FALSE),0))</x:f>
      </x:c>
      <x:c r="S66" s="101"/>
      <x:c r="T66" s="107"/>
      <x:c r="U66" s="113" t="str">
        <x:f>IF(A66="","",IF(S66&lt;&gt;"",0,IF(I66&lt;&gt;"",I66-TODAY(),IF(R66&lt;&gt;"",R66-TODAY(),""))))</x:f>
      </x:c>
      <x:c r="V66" s="113" t="str">
        <x:f>IF(A66="","",IF(S66&lt;&gt;"",MAX(0,S66-IF(I66&lt;&gt;"",I66,R66)),IF(OR(I66&lt;&gt;"",R66&lt;&gt;""),MAX(0,TODAY()-IF(I66&lt;&gt;"",I66,R66)),0)))</x:f>
      </x:c>
      <x:c r="W66" s="95"/>
      <x:c r="X66" s="95"/>
      <x:c r="Y66" s="92"/>
      <x:c r="Z66" s="92"/>
      <x:c r="AA66" s="92"/>
      <x:c r="AB66" s="92"/>
      <x:c r="AC66" s="113" t="str">
        <x:f>IF(A66="","",IF(P66="","",IF(S66&lt;&gt;"",S66-P66,TODAY()-P66)))</x:f>
      </x:c>
    </x:row>
    <x:row r="67" ht="28" customHeight="1">
      <x:c r="A67" s="92"/>
      <x:c r="B67" s="95"/>
      <x:c r="C67" s="92"/>
      <x:c r="D67" s="92"/>
      <x:c r="E67" s="92"/>
      <x:c r="F67" s="92"/>
      <x:c r="G67" s="92"/>
      <x:c r="H67" s="92"/>
      <x:c r="I67" s="101"/>
      <x:c r="J67" s="107"/>
      <x:c r="K67" s="110" t="str">
        <x:f>IF(A67="","",IFERROR(VLOOKUP(C67,'Cấu hình'!$A$12:$D$19,2,FALSE),0))</x:f>
      </x:c>
      <x:c r="L67" s="92"/>
      <x:c r="M67" s="92"/>
      <x:c r="N67" s="95"/>
      <x:c r="O67" s="101"/>
      <x:c r="P67" s="101"/>
      <x:c r="Q67" s="101"/>
      <x:c r="R67" s="104" t="str">
        <x:f>IF(OR(P67="",D67=""),"",P67+IFERROR(VLOOKUP(D67,'Cấu hình'!$E$12:$G$15,3,FALSE),0))</x:f>
      </x:c>
      <x:c r="S67" s="101"/>
      <x:c r="T67" s="107"/>
      <x:c r="U67" s="113" t="str">
        <x:f>IF(A67="","",IF(S67&lt;&gt;"",0,IF(I67&lt;&gt;"",I67-TODAY(),IF(R67&lt;&gt;"",R67-TODAY(),""))))</x:f>
      </x:c>
      <x:c r="V67" s="113" t="str">
        <x:f>IF(A67="","",IF(S67&lt;&gt;"",MAX(0,S67-IF(I67&lt;&gt;"",I67,R67)),IF(OR(I67&lt;&gt;"",R67&lt;&gt;""),MAX(0,TODAY()-IF(I67&lt;&gt;"",I67,R67)),0)))</x:f>
      </x:c>
      <x:c r="W67" s="95"/>
      <x:c r="X67" s="95"/>
      <x:c r="Y67" s="92"/>
      <x:c r="Z67" s="92"/>
      <x:c r="AA67" s="92"/>
      <x:c r="AB67" s="92"/>
      <x:c r="AC67" s="113" t="str">
        <x:f>IF(A67="","",IF(P67="","",IF(S67&lt;&gt;"",S67-P67,TODAY()-P67)))</x:f>
      </x:c>
    </x:row>
    <x:row r="68" ht="28" customHeight="1">
      <x:c r="A68" s="92"/>
      <x:c r="B68" s="95"/>
      <x:c r="C68" s="92"/>
      <x:c r="D68" s="92"/>
      <x:c r="E68" s="92"/>
      <x:c r="F68" s="92"/>
      <x:c r="G68" s="92"/>
      <x:c r="H68" s="92"/>
      <x:c r="I68" s="101"/>
      <x:c r="J68" s="107"/>
      <x:c r="K68" s="110" t="str">
        <x:f>IF(A68="","",IFERROR(VLOOKUP(C68,'Cấu hình'!$A$12:$D$19,2,FALSE),0))</x:f>
      </x:c>
      <x:c r="L68" s="92"/>
      <x:c r="M68" s="92"/>
      <x:c r="N68" s="95"/>
      <x:c r="O68" s="101"/>
      <x:c r="P68" s="101"/>
      <x:c r="Q68" s="101"/>
      <x:c r="R68" s="104" t="str">
        <x:f>IF(OR(P68="",D68=""),"",P68+IFERROR(VLOOKUP(D68,'Cấu hình'!$E$12:$G$15,3,FALSE),0))</x:f>
      </x:c>
      <x:c r="S68" s="101"/>
      <x:c r="T68" s="107"/>
      <x:c r="U68" s="113" t="str">
        <x:f>IF(A68="","",IF(S68&lt;&gt;"",0,IF(I68&lt;&gt;"",I68-TODAY(),IF(R68&lt;&gt;"",R68-TODAY(),""))))</x:f>
      </x:c>
      <x:c r="V68" s="113" t="str">
        <x:f>IF(A68="","",IF(S68&lt;&gt;"",MAX(0,S68-IF(I68&lt;&gt;"",I68,R68)),IF(OR(I68&lt;&gt;"",R68&lt;&gt;""),MAX(0,TODAY()-IF(I68&lt;&gt;"",I68,R68)),0)))</x:f>
      </x:c>
      <x:c r="W68" s="95"/>
      <x:c r="X68" s="95"/>
      <x:c r="Y68" s="92"/>
      <x:c r="Z68" s="92"/>
      <x:c r="AA68" s="92"/>
      <x:c r="AB68" s="92"/>
      <x:c r="AC68" s="113" t="str">
        <x:f>IF(A68="","",IF(P68="","",IF(S68&lt;&gt;"",S68-P68,TODAY()-P68)))</x:f>
      </x:c>
    </x:row>
    <x:row r="69" ht="28" customHeight="1">
      <x:c r="A69" s="92"/>
      <x:c r="B69" s="95"/>
      <x:c r="C69" s="92"/>
      <x:c r="D69" s="92"/>
      <x:c r="E69" s="92"/>
      <x:c r="F69" s="92"/>
      <x:c r="G69" s="92"/>
      <x:c r="H69" s="92"/>
      <x:c r="I69" s="101"/>
      <x:c r="J69" s="107"/>
      <x:c r="K69" s="110" t="str">
        <x:f>IF(A69="","",IFERROR(VLOOKUP(C69,'Cấu hình'!$A$12:$D$19,2,FALSE),0))</x:f>
      </x:c>
      <x:c r="L69" s="92"/>
      <x:c r="M69" s="92"/>
      <x:c r="N69" s="95"/>
      <x:c r="O69" s="101"/>
      <x:c r="P69" s="101"/>
      <x:c r="Q69" s="101"/>
      <x:c r="R69" s="104" t="str">
        <x:f>IF(OR(P69="",D69=""),"",P69+IFERROR(VLOOKUP(D69,'Cấu hình'!$E$12:$G$15,3,FALSE),0))</x:f>
      </x:c>
      <x:c r="S69" s="101"/>
      <x:c r="T69" s="107"/>
      <x:c r="U69" s="113" t="str">
        <x:f>IF(A69="","",IF(S69&lt;&gt;"",0,IF(I69&lt;&gt;"",I69-TODAY(),IF(R69&lt;&gt;"",R69-TODAY(),""))))</x:f>
      </x:c>
      <x:c r="V69" s="113" t="str">
        <x:f>IF(A69="","",IF(S69&lt;&gt;"",MAX(0,S69-IF(I69&lt;&gt;"",I69,R69)),IF(OR(I69&lt;&gt;"",R69&lt;&gt;""),MAX(0,TODAY()-IF(I69&lt;&gt;"",I69,R69)),0)))</x:f>
      </x:c>
      <x:c r="W69" s="95"/>
      <x:c r="X69" s="95"/>
      <x:c r="Y69" s="92"/>
      <x:c r="Z69" s="92"/>
      <x:c r="AA69" s="92"/>
      <x:c r="AB69" s="92"/>
      <x:c r="AC69" s="113" t="str">
        <x:f>IF(A69="","",IF(P69="","",IF(S69&lt;&gt;"",S69-P69,TODAY()-P69)))</x:f>
      </x:c>
    </x:row>
    <x:row r="70" ht="28" customHeight="1">
      <x:c r="A70" s="92"/>
      <x:c r="B70" s="95"/>
      <x:c r="C70" s="92"/>
      <x:c r="D70" s="92"/>
      <x:c r="E70" s="92"/>
      <x:c r="F70" s="92"/>
      <x:c r="G70" s="92"/>
      <x:c r="H70" s="92"/>
      <x:c r="I70" s="101"/>
      <x:c r="J70" s="107"/>
      <x:c r="K70" s="110" t="str">
        <x:f>IF(A70="","",IFERROR(VLOOKUP(C70,'Cấu hình'!$A$12:$D$19,2,FALSE),0))</x:f>
      </x:c>
      <x:c r="L70" s="92"/>
      <x:c r="M70" s="92"/>
      <x:c r="N70" s="95"/>
      <x:c r="O70" s="101"/>
      <x:c r="P70" s="101"/>
      <x:c r="Q70" s="101"/>
      <x:c r="R70" s="104" t="str">
        <x:f>IF(OR(P70="",D70=""),"",P70+IFERROR(VLOOKUP(D70,'Cấu hình'!$E$12:$G$15,3,FALSE),0))</x:f>
      </x:c>
      <x:c r="S70" s="101"/>
      <x:c r="T70" s="107"/>
      <x:c r="U70" s="113" t="str">
        <x:f>IF(A70="","",IF(S70&lt;&gt;"",0,IF(I70&lt;&gt;"",I70-TODAY(),IF(R70&lt;&gt;"",R70-TODAY(),""))))</x:f>
      </x:c>
      <x:c r="V70" s="113" t="str">
        <x:f>IF(A70="","",IF(S70&lt;&gt;"",MAX(0,S70-IF(I70&lt;&gt;"",I70,R70)),IF(OR(I70&lt;&gt;"",R70&lt;&gt;""),MAX(0,TODAY()-IF(I70&lt;&gt;"",I70,R70)),0)))</x:f>
      </x:c>
      <x:c r="W70" s="95"/>
      <x:c r="X70" s="95"/>
      <x:c r="Y70" s="92"/>
      <x:c r="Z70" s="92"/>
      <x:c r="AA70" s="92"/>
      <x:c r="AB70" s="92"/>
      <x:c r="AC70" s="113" t="str">
        <x:f>IF(A70="","",IF(P70="","",IF(S70&lt;&gt;"",S70-P70,TODAY()-P70)))</x:f>
      </x:c>
    </x:row>
    <x:row r="71" ht="28" customHeight="1">
      <x:c r="A71" s="92"/>
      <x:c r="B71" s="95"/>
      <x:c r="C71" s="92"/>
      <x:c r="D71" s="92"/>
      <x:c r="E71" s="92"/>
      <x:c r="F71" s="92"/>
      <x:c r="G71" s="92"/>
      <x:c r="H71" s="92"/>
      <x:c r="I71" s="101"/>
      <x:c r="J71" s="107"/>
      <x:c r="K71" s="110" t="str">
        <x:f>IF(A71="","",IFERROR(VLOOKUP(C71,'Cấu hình'!$A$12:$D$19,2,FALSE),0))</x:f>
      </x:c>
      <x:c r="L71" s="92"/>
      <x:c r="M71" s="92"/>
      <x:c r="N71" s="95"/>
      <x:c r="O71" s="101"/>
      <x:c r="P71" s="101"/>
      <x:c r="Q71" s="101"/>
      <x:c r="R71" s="104" t="str">
        <x:f>IF(OR(P71="",D71=""),"",P71+IFERROR(VLOOKUP(D71,'Cấu hình'!$E$12:$G$15,3,FALSE),0))</x:f>
      </x:c>
      <x:c r="S71" s="101"/>
      <x:c r="T71" s="107"/>
      <x:c r="U71" s="113" t="str">
        <x:f>IF(A71="","",IF(S71&lt;&gt;"",0,IF(I71&lt;&gt;"",I71-TODAY(),IF(R71&lt;&gt;"",R71-TODAY(),""))))</x:f>
      </x:c>
      <x:c r="V71" s="113" t="str">
        <x:f>IF(A71="","",IF(S71&lt;&gt;"",MAX(0,S71-IF(I71&lt;&gt;"",I71,R71)),IF(OR(I71&lt;&gt;"",R71&lt;&gt;""),MAX(0,TODAY()-IF(I71&lt;&gt;"",I71,R71)),0)))</x:f>
      </x:c>
      <x:c r="W71" s="95"/>
      <x:c r="X71" s="95"/>
      <x:c r="Y71" s="92"/>
      <x:c r="Z71" s="92"/>
      <x:c r="AA71" s="92"/>
      <x:c r="AB71" s="92"/>
      <x:c r="AC71" s="113" t="str">
        <x:f>IF(A71="","",IF(P71="","",IF(S71&lt;&gt;"",S71-P71,TODAY()-P71)))</x:f>
      </x:c>
    </x:row>
    <x:row r="72" ht="28" customHeight="1">
      <x:c r="A72" s="92"/>
      <x:c r="B72" s="95"/>
      <x:c r="C72" s="92"/>
      <x:c r="D72" s="92"/>
      <x:c r="E72" s="92"/>
      <x:c r="F72" s="92"/>
      <x:c r="G72" s="92"/>
      <x:c r="H72" s="92"/>
      <x:c r="I72" s="101"/>
      <x:c r="J72" s="107"/>
      <x:c r="K72" s="110" t="str">
        <x:f>IF(A72="","",IFERROR(VLOOKUP(C72,'Cấu hình'!$A$12:$D$19,2,FALSE),0))</x:f>
      </x:c>
      <x:c r="L72" s="92"/>
      <x:c r="M72" s="92"/>
      <x:c r="N72" s="95"/>
      <x:c r="O72" s="101"/>
      <x:c r="P72" s="101"/>
      <x:c r="Q72" s="101"/>
      <x:c r="R72" s="104" t="str">
        <x:f>IF(OR(P72="",D72=""),"",P72+IFERROR(VLOOKUP(D72,'Cấu hình'!$E$12:$G$15,3,FALSE),0))</x:f>
      </x:c>
      <x:c r="S72" s="101"/>
      <x:c r="T72" s="107"/>
      <x:c r="U72" s="113" t="str">
        <x:f>IF(A72="","",IF(S72&lt;&gt;"",0,IF(I72&lt;&gt;"",I72-TODAY(),IF(R72&lt;&gt;"",R72-TODAY(),""))))</x:f>
      </x:c>
      <x:c r="V72" s="113" t="str">
        <x:f>IF(A72="","",IF(S72&lt;&gt;"",MAX(0,S72-IF(I72&lt;&gt;"",I72,R72)),IF(OR(I72&lt;&gt;"",R72&lt;&gt;""),MAX(0,TODAY()-IF(I72&lt;&gt;"",I72,R72)),0)))</x:f>
      </x:c>
      <x:c r="W72" s="95"/>
      <x:c r="X72" s="95"/>
      <x:c r="Y72" s="92"/>
      <x:c r="Z72" s="92"/>
      <x:c r="AA72" s="92"/>
      <x:c r="AB72" s="92"/>
      <x:c r="AC72" s="113" t="str">
        <x:f>IF(A72="","",IF(P72="","",IF(S72&lt;&gt;"",S72-P72,TODAY()-P72)))</x:f>
      </x:c>
    </x:row>
    <x:row r="73" ht="28" customHeight="1">
      <x:c r="A73" s="92"/>
      <x:c r="B73" s="95"/>
      <x:c r="C73" s="92"/>
      <x:c r="D73" s="92"/>
      <x:c r="E73" s="92"/>
      <x:c r="F73" s="92"/>
      <x:c r="G73" s="92"/>
      <x:c r="H73" s="92"/>
      <x:c r="I73" s="101"/>
      <x:c r="J73" s="107"/>
      <x:c r="K73" s="110" t="str">
        <x:f>IF(A73="","",IFERROR(VLOOKUP(C73,'Cấu hình'!$A$12:$D$19,2,FALSE),0))</x:f>
      </x:c>
      <x:c r="L73" s="92"/>
      <x:c r="M73" s="92"/>
      <x:c r="N73" s="95"/>
      <x:c r="O73" s="101"/>
      <x:c r="P73" s="101"/>
      <x:c r="Q73" s="101"/>
      <x:c r="R73" s="104" t="str">
        <x:f>IF(OR(P73="",D73=""),"",P73+IFERROR(VLOOKUP(D73,'Cấu hình'!$E$12:$G$15,3,FALSE),0))</x:f>
      </x:c>
      <x:c r="S73" s="101"/>
      <x:c r="T73" s="107"/>
      <x:c r="U73" s="113" t="str">
        <x:f>IF(A73="","",IF(S73&lt;&gt;"",0,IF(I73&lt;&gt;"",I73-TODAY(),IF(R73&lt;&gt;"",R73-TODAY(),""))))</x:f>
      </x:c>
      <x:c r="V73" s="113" t="str">
        <x:f>IF(A73="","",IF(S73&lt;&gt;"",MAX(0,S73-IF(I73&lt;&gt;"",I73,R73)),IF(OR(I73&lt;&gt;"",R73&lt;&gt;""),MAX(0,TODAY()-IF(I73&lt;&gt;"",I73,R73)),0)))</x:f>
      </x:c>
      <x:c r="W73" s="95"/>
      <x:c r="X73" s="95"/>
      <x:c r="Y73" s="92"/>
      <x:c r="Z73" s="92"/>
      <x:c r="AA73" s="92"/>
      <x:c r="AB73" s="92"/>
      <x:c r="AC73" s="113" t="str">
        <x:f>IF(A73="","",IF(P73="","",IF(S73&lt;&gt;"",S73-P73,TODAY()-P73)))</x:f>
      </x:c>
    </x:row>
    <x:row r="74" ht="28" customHeight="1">
      <x:c r="A74" s="92"/>
      <x:c r="B74" s="95"/>
      <x:c r="C74" s="92"/>
      <x:c r="D74" s="92"/>
      <x:c r="E74" s="92"/>
      <x:c r="F74" s="92"/>
      <x:c r="G74" s="92"/>
      <x:c r="H74" s="92"/>
      <x:c r="I74" s="101"/>
      <x:c r="J74" s="107"/>
      <x:c r="K74" s="110" t="str">
        <x:f>IF(A74="","",IFERROR(VLOOKUP(C74,'Cấu hình'!$A$12:$D$19,2,FALSE),0))</x:f>
      </x:c>
      <x:c r="L74" s="92"/>
      <x:c r="M74" s="92"/>
      <x:c r="N74" s="95"/>
      <x:c r="O74" s="101"/>
      <x:c r="P74" s="101"/>
      <x:c r="Q74" s="101"/>
      <x:c r="R74" s="104" t="str">
        <x:f>IF(OR(P74="",D74=""),"",P74+IFERROR(VLOOKUP(D74,'Cấu hình'!$E$12:$G$15,3,FALSE),0))</x:f>
      </x:c>
      <x:c r="S74" s="101"/>
      <x:c r="T74" s="107"/>
      <x:c r="U74" s="113" t="str">
        <x:f>IF(A74="","",IF(S74&lt;&gt;"",0,IF(I74&lt;&gt;"",I74-TODAY(),IF(R74&lt;&gt;"",R74-TODAY(),""))))</x:f>
      </x:c>
      <x:c r="V74" s="113" t="str">
        <x:f>IF(A74="","",IF(S74&lt;&gt;"",MAX(0,S74-IF(I74&lt;&gt;"",I74,R74)),IF(OR(I74&lt;&gt;"",R74&lt;&gt;""),MAX(0,TODAY()-IF(I74&lt;&gt;"",I74,R74)),0)))</x:f>
      </x:c>
      <x:c r="W74" s="95"/>
      <x:c r="X74" s="95"/>
      <x:c r="Y74" s="92"/>
      <x:c r="Z74" s="92"/>
      <x:c r="AA74" s="92"/>
      <x:c r="AB74" s="92"/>
      <x:c r="AC74" s="113" t="str">
        <x:f>IF(A74="","",IF(P74="","",IF(S74&lt;&gt;"",S74-P74,TODAY()-P74)))</x:f>
      </x:c>
    </x:row>
    <x:row r="75" ht="28" customHeight="1">
      <x:c r="A75" s="92"/>
      <x:c r="B75" s="95"/>
      <x:c r="C75" s="92"/>
      <x:c r="D75" s="92"/>
      <x:c r="E75" s="92"/>
      <x:c r="F75" s="92"/>
      <x:c r="G75" s="92"/>
      <x:c r="H75" s="92"/>
      <x:c r="I75" s="101"/>
      <x:c r="J75" s="107"/>
      <x:c r="K75" s="110" t="str">
        <x:f>IF(A75="","",IFERROR(VLOOKUP(C75,'Cấu hình'!$A$12:$D$19,2,FALSE),0))</x:f>
      </x:c>
      <x:c r="L75" s="92"/>
      <x:c r="M75" s="92"/>
      <x:c r="N75" s="95"/>
      <x:c r="O75" s="101"/>
      <x:c r="P75" s="101"/>
      <x:c r="Q75" s="101"/>
      <x:c r="R75" s="104" t="str">
        <x:f>IF(OR(P75="",D75=""),"",P75+IFERROR(VLOOKUP(D75,'Cấu hình'!$E$12:$G$15,3,FALSE),0))</x:f>
      </x:c>
      <x:c r="S75" s="101"/>
      <x:c r="T75" s="107"/>
      <x:c r="U75" s="113" t="str">
        <x:f>IF(A75="","",IF(S75&lt;&gt;"",0,IF(I75&lt;&gt;"",I75-TODAY(),IF(R75&lt;&gt;"",R75-TODAY(),""))))</x:f>
      </x:c>
      <x:c r="V75" s="113" t="str">
        <x:f>IF(A75="","",IF(S75&lt;&gt;"",MAX(0,S75-IF(I75&lt;&gt;"",I75,R75)),IF(OR(I75&lt;&gt;"",R75&lt;&gt;""),MAX(0,TODAY()-IF(I75&lt;&gt;"",I75,R75)),0)))</x:f>
      </x:c>
      <x:c r="W75" s="95"/>
      <x:c r="X75" s="95"/>
      <x:c r="Y75" s="92"/>
      <x:c r="Z75" s="92"/>
      <x:c r="AA75" s="92"/>
      <x:c r="AB75" s="92"/>
      <x:c r="AC75" s="113" t="str">
        <x:f>IF(A75="","",IF(P75="","",IF(S75&lt;&gt;"",S75-P75,TODAY()-P75)))</x:f>
      </x:c>
    </x:row>
    <x:row r="76" ht="28" customHeight="1">
      <x:c r="A76" s="92"/>
      <x:c r="B76" s="95"/>
      <x:c r="C76" s="92"/>
      <x:c r="D76" s="92"/>
      <x:c r="E76" s="92"/>
      <x:c r="F76" s="92"/>
      <x:c r="G76" s="92"/>
      <x:c r="H76" s="92"/>
      <x:c r="I76" s="101"/>
      <x:c r="J76" s="107"/>
      <x:c r="K76" s="110" t="str">
        <x:f>IF(A76="","",IFERROR(VLOOKUP(C76,'Cấu hình'!$A$12:$D$19,2,FALSE),0))</x:f>
      </x:c>
      <x:c r="L76" s="92"/>
      <x:c r="M76" s="92"/>
      <x:c r="N76" s="95"/>
      <x:c r="O76" s="101"/>
      <x:c r="P76" s="101"/>
      <x:c r="Q76" s="101"/>
      <x:c r="R76" s="104" t="str">
        <x:f>IF(OR(P76="",D76=""),"",P76+IFERROR(VLOOKUP(D76,'Cấu hình'!$E$12:$G$15,3,FALSE),0))</x:f>
      </x:c>
      <x:c r="S76" s="101"/>
      <x:c r="T76" s="107"/>
      <x:c r="U76" s="113" t="str">
        <x:f>IF(A76="","",IF(S76&lt;&gt;"",0,IF(I76&lt;&gt;"",I76-TODAY(),IF(R76&lt;&gt;"",R76-TODAY(),""))))</x:f>
      </x:c>
      <x:c r="V76" s="113" t="str">
        <x:f>IF(A76="","",IF(S76&lt;&gt;"",MAX(0,S76-IF(I76&lt;&gt;"",I76,R76)),IF(OR(I76&lt;&gt;"",R76&lt;&gt;""),MAX(0,TODAY()-IF(I76&lt;&gt;"",I76,R76)),0)))</x:f>
      </x:c>
      <x:c r="W76" s="95"/>
      <x:c r="X76" s="95"/>
      <x:c r="Y76" s="92"/>
      <x:c r="Z76" s="92"/>
      <x:c r="AA76" s="92"/>
      <x:c r="AB76" s="92"/>
      <x:c r="AC76" s="113" t="str">
        <x:f>IF(A76="","",IF(P76="","",IF(S76&lt;&gt;"",S76-P76,TODAY()-P76)))</x:f>
      </x:c>
    </x:row>
    <x:row r="77" ht="28" customHeight="1">
      <x:c r="A77" s="92"/>
      <x:c r="B77" s="95"/>
      <x:c r="C77" s="92"/>
      <x:c r="D77" s="92"/>
      <x:c r="E77" s="92"/>
      <x:c r="F77" s="92"/>
      <x:c r="G77" s="92"/>
      <x:c r="H77" s="92"/>
      <x:c r="I77" s="101"/>
      <x:c r="J77" s="107"/>
      <x:c r="K77" s="110" t="str">
        <x:f>IF(A77="","",IFERROR(VLOOKUP(C77,'Cấu hình'!$A$12:$D$19,2,FALSE),0))</x:f>
      </x:c>
      <x:c r="L77" s="92"/>
      <x:c r="M77" s="92"/>
      <x:c r="N77" s="95"/>
      <x:c r="O77" s="101"/>
      <x:c r="P77" s="101"/>
      <x:c r="Q77" s="101"/>
      <x:c r="R77" s="104" t="str">
        <x:f>IF(OR(P77="",D77=""),"",P77+IFERROR(VLOOKUP(D77,'Cấu hình'!$E$12:$G$15,3,FALSE),0))</x:f>
      </x:c>
      <x:c r="S77" s="101"/>
      <x:c r="T77" s="107"/>
      <x:c r="U77" s="113" t="str">
        <x:f>IF(A77="","",IF(S77&lt;&gt;"",0,IF(I77&lt;&gt;"",I77-TODAY(),IF(R77&lt;&gt;"",R77-TODAY(),""))))</x:f>
      </x:c>
      <x:c r="V77" s="113" t="str">
        <x:f>IF(A77="","",IF(S77&lt;&gt;"",MAX(0,S77-IF(I77&lt;&gt;"",I77,R77)),IF(OR(I77&lt;&gt;"",R77&lt;&gt;""),MAX(0,TODAY()-IF(I77&lt;&gt;"",I77,R77)),0)))</x:f>
      </x:c>
      <x:c r="W77" s="95"/>
      <x:c r="X77" s="95"/>
      <x:c r="Y77" s="92"/>
      <x:c r="Z77" s="92"/>
      <x:c r="AA77" s="92"/>
      <x:c r="AB77" s="92"/>
      <x:c r="AC77" s="113" t="str">
        <x:f>IF(A77="","",IF(P77="","",IF(S77&lt;&gt;"",S77-P77,TODAY()-P77)))</x:f>
      </x:c>
    </x:row>
    <x:row r="78" ht="28" customHeight="1">
      <x:c r="A78" s="92"/>
      <x:c r="B78" s="95"/>
      <x:c r="C78" s="92"/>
      <x:c r="D78" s="92"/>
      <x:c r="E78" s="92"/>
      <x:c r="F78" s="92"/>
      <x:c r="G78" s="92"/>
      <x:c r="H78" s="92"/>
      <x:c r="I78" s="101"/>
      <x:c r="J78" s="107"/>
      <x:c r="K78" s="110" t="str">
        <x:f>IF(A78="","",IFERROR(VLOOKUP(C78,'Cấu hình'!$A$12:$D$19,2,FALSE),0))</x:f>
      </x:c>
      <x:c r="L78" s="92"/>
      <x:c r="M78" s="92"/>
      <x:c r="N78" s="95"/>
      <x:c r="O78" s="101"/>
      <x:c r="P78" s="101"/>
      <x:c r="Q78" s="101"/>
      <x:c r="R78" s="104" t="str">
        <x:f>IF(OR(P78="",D78=""),"",P78+IFERROR(VLOOKUP(D78,'Cấu hình'!$E$12:$G$15,3,FALSE),0))</x:f>
      </x:c>
      <x:c r="S78" s="101"/>
      <x:c r="T78" s="107"/>
      <x:c r="U78" s="113" t="str">
        <x:f>IF(A78="","",IF(S78&lt;&gt;"",0,IF(I78&lt;&gt;"",I78-TODAY(),IF(R78&lt;&gt;"",R78-TODAY(),""))))</x:f>
      </x:c>
      <x:c r="V78" s="113" t="str">
        <x:f>IF(A78="","",IF(S78&lt;&gt;"",MAX(0,S78-IF(I78&lt;&gt;"",I78,R78)),IF(OR(I78&lt;&gt;"",R78&lt;&gt;""),MAX(0,TODAY()-IF(I78&lt;&gt;"",I78,R78)),0)))</x:f>
      </x:c>
      <x:c r="W78" s="95"/>
      <x:c r="X78" s="95"/>
      <x:c r="Y78" s="92"/>
      <x:c r="Z78" s="92"/>
      <x:c r="AA78" s="92"/>
      <x:c r="AB78" s="92"/>
      <x:c r="AC78" s="113" t="str">
        <x:f>IF(A78="","",IF(P78="","",IF(S78&lt;&gt;"",S78-P78,TODAY()-P78)))</x:f>
      </x:c>
    </x:row>
    <x:row r="79" ht="28" customHeight="1">
      <x:c r="A79" s="92"/>
      <x:c r="B79" s="95"/>
      <x:c r="C79" s="92"/>
      <x:c r="D79" s="92"/>
      <x:c r="E79" s="92"/>
      <x:c r="F79" s="92"/>
      <x:c r="G79" s="92"/>
      <x:c r="H79" s="92"/>
      <x:c r="I79" s="101"/>
      <x:c r="J79" s="107"/>
      <x:c r="K79" s="110" t="str">
        <x:f>IF(A79="","",IFERROR(VLOOKUP(C79,'Cấu hình'!$A$12:$D$19,2,FALSE),0))</x:f>
      </x:c>
      <x:c r="L79" s="92"/>
      <x:c r="M79" s="92"/>
      <x:c r="N79" s="95"/>
      <x:c r="O79" s="101"/>
      <x:c r="P79" s="101"/>
      <x:c r="Q79" s="101"/>
      <x:c r="R79" s="104" t="str">
        <x:f>IF(OR(P79="",D79=""),"",P79+IFERROR(VLOOKUP(D79,'Cấu hình'!$E$12:$G$15,3,FALSE),0))</x:f>
      </x:c>
      <x:c r="S79" s="101"/>
      <x:c r="T79" s="107"/>
      <x:c r="U79" s="113" t="str">
        <x:f>IF(A79="","",IF(S79&lt;&gt;"",0,IF(I79&lt;&gt;"",I79-TODAY(),IF(R79&lt;&gt;"",R79-TODAY(),""))))</x:f>
      </x:c>
      <x:c r="V79" s="113" t="str">
        <x:f>IF(A79="","",IF(S79&lt;&gt;"",MAX(0,S79-IF(I79&lt;&gt;"",I79,R79)),IF(OR(I79&lt;&gt;"",R79&lt;&gt;""),MAX(0,TODAY()-IF(I79&lt;&gt;"",I79,R79)),0)))</x:f>
      </x:c>
      <x:c r="W79" s="95"/>
      <x:c r="X79" s="95"/>
      <x:c r="Y79" s="92"/>
      <x:c r="Z79" s="92"/>
      <x:c r="AA79" s="92"/>
      <x:c r="AB79" s="92"/>
      <x:c r="AC79" s="113" t="str">
        <x:f>IF(A79="","",IF(P79="","",IF(S79&lt;&gt;"",S79-P79,TODAY()-P79)))</x:f>
      </x:c>
    </x:row>
    <x:row r="80" ht="28" customHeight="1">
      <x:c r="A80" s="92"/>
      <x:c r="B80" s="95"/>
      <x:c r="C80" s="92"/>
      <x:c r="D80" s="92"/>
      <x:c r="E80" s="92"/>
      <x:c r="F80" s="92"/>
      <x:c r="G80" s="92"/>
      <x:c r="H80" s="92"/>
      <x:c r="I80" s="101"/>
      <x:c r="J80" s="107"/>
      <x:c r="K80" s="110" t="str">
        <x:f>IF(A80="","",IFERROR(VLOOKUP(C80,'Cấu hình'!$A$12:$D$19,2,FALSE),0))</x:f>
      </x:c>
      <x:c r="L80" s="92"/>
      <x:c r="M80" s="92"/>
      <x:c r="N80" s="95"/>
      <x:c r="O80" s="101"/>
      <x:c r="P80" s="101"/>
      <x:c r="Q80" s="101"/>
      <x:c r="R80" s="104" t="str">
        <x:f>IF(OR(P80="",D80=""),"",P80+IFERROR(VLOOKUP(D80,'Cấu hình'!$E$12:$G$15,3,FALSE),0))</x:f>
      </x:c>
      <x:c r="S80" s="101"/>
      <x:c r="T80" s="107"/>
      <x:c r="U80" s="113" t="str">
        <x:f>IF(A80="","",IF(S80&lt;&gt;"",0,IF(I80&lt;&gt;"",I80-TODAY(),IF(R80&lt;&gt;"",R80-TODAY(),""))))</x:f>
      </x:c>
      <x:c r="V80" s="113" t="str">
        <x:f>IF(A80="","",IF(S80&lt;&gt;"",MAX(0,S80-IF(I80&lt;&gt;"",I80,R80)),IF(OR(I80&lt;&gt;"",R80&lt;&gt;""),MAX(0,TODAY()-IF(I80&lt;&gt;"",I80,R80)),0)))</x:f>
      </x:c>
      <x:c r="W80" s="95"/>
      <x:c r="X80" s="95"/>
      <x:c r="Y80" s="92"/>
      <x:c r="Z80" s="92"/>
      <x:c r="AA80" s="92"/>
      <x:c r="AB80" s="92"/>
      <x:c r="AC80" s="113" t="str">
        <x:f>IF(A80="","",IF(P80="","",IF(S80&lt;&gt;"",S80-P80,TODAY()-P80)))</x:f>
      </x:c>
    </x:row>
    <x:row r="81" ht="28" customHeight="1">
      <x:c r="A81" s="92"/>
      <x:c r="B81" s="95"/>
      <x:c r="C81" s="92"/>
      <x:c r="D81" s="92"/>
      <x:c r="E81" s="92"/>
      <x:c r="F81" s="92"/>
      <x:c r="G81" s="92"/>
      <x:c r="H81" s="92"/>
      <x:c r="I81" s="101"/>
      <x:c r="J81" s="107"/>
      <x:c r="K81" s="110" t="str">
        <x:f>IF(A81="","",IFERROR(VLOOKUP(C81,'Cấu hình'!$A$12:$D$19,2,FALSE),0))</x:f>
      </x:c>
      <x:c r="L81" s="92"/>
      <x:c r="M81" s="92"/>
      <x:c r="N81" s="95"/>
      <x:c r="O81" s="101"/>
      <x:c r="P81" s="101"/>
      <x:c r="Q81" s="101"/>
      <x:c r="R81" s="104" t="str">
        <x:f>IF(OR(P81="",D81=""),"",P81+IFERROR(VLOOKUP(D81,'Cấu hình'!$E$12:$G$15,3,FALSE),0))</x:f>
      </x:c>
      <x:c r="S81" s="101"/>
      <x:c r="T81" s="107"/>
      <x:c r="U81" s="113" t="str">
        <x:f>IF(A81="","",IF(S81&lt;&gt;"",0,IF(I81&lt;&gt;"",I81-TODAY(),IF(R81&lt;&gt;"",R81-TODAY(),""))))</x:f>
      </x:c>
      <x:c r="V81" s="113" t="str">
        <x:f>IF(A81="","",IF(S81&lt;&gt;"",MAX(0,S81-IF(I81&lt;&gt;"",I81,R81)),IF(OR(I81&lt;&gt;"",R81&lt;&gt;""),MAX(0,TODAY()-IF(I81&lt;&gt;"",I81,R81)),0)))</x:f>
      </x:c>
      <x:c r="W81" s="95"/>
      <x:c r="X81" s="95"/>
      <x:c r="Y81" s="92"/>
      <x:c r="Z81" s="92"/>
      <x:c r="AA81" s="92"/>
      <x:c r="AB81" s="92"/>
      <x:c r="AC81" s="113" t="str">
        <x:f>IF(A81="","",IF(P81="","",IF(S81&lt;&gt;"",S81-P81,TODAY()-P81)))</x:f>
      </x:c>
    </x:row>
    <x:row r="82" ht="28" customHeight="1">
      <x:c r="A82" s="92"/>
      <x:c r="B82" s="95"/>
      <x:c r="C82" s="92"/>
      <x:c r="D82" s="92"/>
      <x:c r="E82" s="92"/>
      <x:c r="F82" s="92"/>
      <x:c r="G82" s="92"/>
      <x:c r="H82" s="92"/>
      <x:c r="I82" s="101"/>
      <x:c r="J82" s="107"/>
      <x:c r="K82" s="110" t="str">
        <x:f>IF(A82="","",IFERROR(VLOOKUP(C82,'Cấu hình'!$A$12:$D$19,2,FALSE),0))</x:f>
      </x:c>
      <x:c r="L82" s="92"/>
      <x:c r="M82" s="92"/>
      <x:c r="N82" s="95"/>
      <x:c r="O82" s="101"/>
      <x:c r="P82" s="101"/>
      <x:c r="Q82" s="101"/>
      <x:c r="R82" s="104" t="str">
        <x:f>IF(OR(P82="",D82=""),"",P82+IFERROR(VLOOKUP(D82,'Cấu hình'!$E$12:$G$15,3,FALSE),0))</x:f>
      </x:c>
      <x:c r="S82" s="101"/>
      <x:c r="T82" s="107"/>
      <x:c r="U82" s="113" t="str">
        <x:f>IF(A82="","",IF(S82&lt;&gt;"",0,IF(I82&lt;&gt;"",I82-TODAY(),IF(R82&lt;&gt;"",R82-TODAY(),""))))</x:f>
      </x:c>
      <x:c r="V82" s="113" t="str">
        <x:f>IF(A82="","",IF(S82&lt;&gt;"",MAX(0,S82-IF(I82&lt;&gt;"",I82,R82)),IF(OR(I82&lt;&gt;"",R82&lt;&gt;""),MAX(0,TODAY()-IF(I82&lt;&gt;"",I82,R82)),0)))</x:f>
      </x:c>
      <x:c r="W82" s="95"/>
      <x:c r="X82" s="95"/>
      <x:c r="Y82" s="92"/>
      <x:c r="Z82" s="92"/>
      <x:c r="AA82" s="92"/>
      <x:c r="AB82" s="92"/>
      <x:c r="AC82" s="113" t="str">
        <x:f>IF(A82="","",IF(P82="","",IF(S82&lt;&gt;"",S82-P82,TODAY()-P82)))</x:f>
      </x:c>
    </x:row>
    <x:row r="83" ht="28" customHeight="1">
      <x:c r="A83" s="92"/>
      <x:c r="B83" s="95"/>
      <x:c r="C83" s="92"/>
      <x:c r="D83" s="92"/>
      <x:c r="E83" s="92"/>
      <x:c r="F83" s="92"/>
      <x:c r="G83" s="92"/>
      <x:c r="H83" s="92"/>
      <x:c r="I83" s="101"/>
      <x:c r="J83" s="107"/>
      <x:c r="K83" s="110" t="str">
        <x:f>IF(A83="","",IFERROR(VLOOKUP(C83,'Cấu hình'!$A$12:$D$19,2,FALSE),0))</x:f>
      </x:c>
      <x:c r="L83" s="92"/>
      <x:c r="M83" s="92"/>
      <x:c r="N83" s="95"/>
      <x:c r="O83" s="101"/>
      <x:c r="P83" s="101"/>
      <x:c r="Q83" s="101"/>
      <x:c r="R83" s="104" t="str">
        <x:f>IF(OR(P83="",D83=""),"",P83+IFERROR(VLOOKUP(D83,'Cấu hình'!$E$12:$G$15,3,FALSE),0))</x:f>
      </x:c>
      <x:c r="S83" s="101"/>
      <x:c r="T83" s="107"/>
      <x:c r="U83" s="113" t="str">
        <x:f>IF(A83="","",IF(S83&lt;&gt;"",0,IF(I83&lt;&gt;"",I83-TODAY(),IF(R83&lt;&gt;"",R83-TODAY(),""))))</x:f>
      </x:c>
      <x:c r="V83" s="113" t="str">
        <x:f>IF(A83="","",IF(S83&lt;&gt;"",MAX(0,S83-IF(I83&lt;&gt;"",I83,R83)),IF(OR(I83&lt;&gt;"",R83&lt;&gt;""),MAX(0,TODAY()-IF(I83&lt;&gt;"",I83,R83)),0)))</x:f>
      </x:c>
      <x:c r="W83" s="95"/>
      <x:c r="X83" s="95"/>
      <x:c r="Y83" s="92"/>
      <x:c r="Z83" s="92"/>
      <x:c r="AA83" s="92"/>
      <x:c r="AB83" s="92"/>
      <x:c r="AC83" s="113" t="str">
        <x:f>IF(A83="","",IF(P83="","",IF(S83&lt;&gt;"",S83-P83,TODAY()-P83)))</x:f>
      </x:c>
    </x:row>
    <x:row r="84" ht="28" customHeight="1">
      <x:c r="A84" s="92"/>
      <x:c r="B84" s="95"/>
      <x:c r="C84" s="92"/>
      <x:c r="D84" s="92"/>
      <x:c r="E84" s="92"/>
      <x:c r="F84" s="92"/>
      <x:c r="G84" s="92"/>
      <x:c r="H84" s="92"/>
      <x:c r="I84" s="101"/>
      <x:c r="J84" s="107"/>
      <x:c r="K84" s="110" t="str">
        <x:f>IF(A84="","",IFERROR(VLOOKUP(C84,'Cấu hình'!$A$12:$D$19,2,FALSE),0))</x:f>
      </x:c>
      <x:c r="L84" s="92"/>
      <x:c r="M84" s="92"/>
      <x:c r="N84" s="95"/>
      <x:c r="O84" s="101"/>
      <x:c r="P84" s="101"/>
      <x:c r="Q84" s="101"/>
      <x:c r="R84" s="104" t="str">
        <x:f>IF(OR(P84="",D84=""),"",P84+IFERROR(VLOOKUP(D84,'Cấu hình'!$E$12:$G$15,3,FALSE),0))</x:f>
      </x:c>
      <x:c r="S84" s="101"/>
      <x:c r="T84" s="107"/>
      <x:c r="U84" s="113" t="str">
        <x:f>IF(A84="","",IF(S84&lt;&gt;"",0,IF(I84&lt;&gt;"",I84-TODAY(),IF(R84&lt;&gt;"",R84-TODAY(),""))))</x:f>
      </x:c>
      <x:c r="V84" s="113" t="str">
        <x:f>IF(A84="","",IF(S84&lt;&gt;"",MAX(0,S84-IF(I84&lt;&gt;"",I84,R84)),IF(OR(I84&lt;&gt;"",R84&lt;&gt;""),MAX(0,TODAY()-IF(I84&lt;&gt;"",I84,R84)),0)))</x:f>
      </x:c>
      <x:c r="W84" s="95"/>
      <x:c r="X84" s="95"/>
      <x:c r="Y84" s="92"/>
      <x:c r="Z84" s="92"/>
      <x:c r="AA84" s="92"/>
      <x:c r="AB84" s="92"/>
      <x:c r="AC84" s="113" t="str">
        <x:f>IF(A84="","",IF(P84="","",IF(S84&lt;&gt;"",S84-P84,TODAY()-P84)))</x:f>
      </x:c>
    </x:row>
    <x:row r="85" ht="28" customHeight="1">
      <x:c r="A85" s="92"/>
      <x:c r="B85" s="95"/>
      <x:c r="C85" s="92"/>
      <x:c r="D85" s="92"/>
      <x:c r="E85" s="92"/>
      <x:c r="F85" s="92"/>
      <x:c r="G85" s="92"/>
      <x:c r="H85" s="92"/>
      <x:c r="I85" s="101"/>
      <x:c r="J85" s="107"/>
      <x:c r="K85" s="110" t="str">
        <x:f>IF(A85="","",IFERROR(VLOOKUP(C85,'Cấu hình'!$A$12:$D$19,2,FALSE),0))</x:f>
      </x:c>
      <x:c r="L85" s="92"/>
      <x:c r="M85" s="92"/>
      <x:c r="N85" s="95"/>
      <x:c r="O85" s="101"/>
      <x:c r="P85" s="101"/>
      <x:c r="Q85" s="101"/>
      <x:c r="R85" s="104" t="str">
        <x:f>IF(OR(P85="",D85=""),"",P85+IFERROR(VLOOKUP(D85,'Cấu hình'!$E$12:$G$15,3,FALSE),0))</x:f>
      </x:c>
      <x:c r="S85" s="101"/>
      <x:c r="T85" s="107"/>
      <x:c r="U85" s="113" t="str">
        <x:f>IF(A85="","",IF(S85&lt;&gt;"",0,IF(I85&lt;&gt;"",I85-TODAY(),IF(R85&lt;&gt;"",R85-TODAY(),""))))</x:f>
      </x:c>
      <x:c r="V85" s="113" t="str">
        <x:f>IF(A85="","",IF(S85&lt;&gt;"",MAX(0,S85-IF(I85&lt;&gt;"",I85,R85)),IF(OR(I85&lt;&gt;"",R85&lt;&gt;""),MAX(0,TODAY()-IF(I85&lt;&gt;"",I85,R85)),0)))</x:f>
      </x:c>
      <x:c r="W85" s="95"/>
      <x:c r="X85" s="95"/>
      <x:c r="Y85" s="92"/>
      <x:c r="Z85" s="92"/>
      <x:c r="AA85" s="92"/>
      <x:c r="AB85" s="92"/>
      <x:c r="AC85" s="113" t="str">
        <x:f>IF(A85="","",IF(P85="","",IF(S85&lt;&gt;"",S85-P85,TODAY()-P85)))</x:f>
      </x:c>
    </x:row>
    <x:row r="86" ht="28" customHeight="1">
      <x:c r="A86" s="92"/>
      <x:c r="B86" s="95"/>
      <x:c r="C86" s="92"/>
      <x:c r="D86" s="92"/>
      <x:c r="E86" s="92"/>
      <x:c r="F86" s="92"/>
      <x:c r="G86" s="92"/>
      <x:c r="H86" s="92"/>
      <x:c r="I86" s="101"/>
      <x:c r="J86" s="107"/>
      <x:c r="K86" s="110" t="str">
        <x:f>IF(A86="","",IFERROR(VLOOKUP(C86,'Cấu hình'!$A$12:$D$19,2,FALSE),0))</x:f>
      </x:c>
      <x:c r="L86" s="92"/>
      <x:c r="M86" s="92"/>
      <x:c r="N86" s="95"/>
      <x:c r="O86" s="101"/>
      <x:c r="P86" s="101"/>
      <x:c r="Q86" s="101"/>
      <x:c r="R86" s="104" t="str">
        <x:f>IF(OR(P86="",D86=""),"",P86+IFERROR(VLOOKUP(D86,'Cấu hình'!$E$12:$G$15,3,FALSE),0))</x:f>
      </x:c>
      <x:c r="S86" s="101"/>
      <x:c r="T86" s="107"/>
      <x:c r="U86" s="113" t="str">
        <x:f>IF(A86="","",IF(S86&lt;&gt;"",0,IF(I86&lt;&gt;"",I86-TODAY(),IF(R86&lt;&gt;"",R86-TODAY(),""))))</x:f>
      </x:c>
      <x:c r="V86" s="113" t="str">
        <x:f>IF(A86="","",IF(S86&lt;&gt;"",MAX(0,S86-IF(I86&lt;&gt;"",I86,R86)),IF(OR(I86&lt;&gt;"",R86&lt;&gt;""),MAX(0,TODAY()-IF(I86&lt;&gt;"",I86,R86)),0)))</x:f>
      </x:c>
      <x:c r="W86" s="95"/>
      <x:c r="X86" s="95"/>
      <x:c r="Y86" s="92"/>
      <x:c r="Z86" s="92"/>
      <x:c r="AA86" s="92"/>
      <x:c r="AB86" s="92"/>
      <x:c r="AC86" s="113" t="str">
        <x:f>IF(A86="","",IF(P86="","",IF(S86&lt;&gt;"",S86-P86,TODAY()-P86)))</x:f>
      </x:c>
    </x:row>
    <x:row r="87" ht="28" customHeight="1">
      <x:c r="A87" s="92"/>
      <x:c r="B87" s="95"/>
      <x:c r="C87" s="92"/>
      <x:c r="D87" s="92"/>
      <x:c r="E87" s="92"/>
      <x:c r="F87" s="92"/>
      <x:c r="G87" s="92"/>
      <x:c r="H87" s="92"/>
      <x:c r="I87" s="101"/>
      <x:c r="J87" s="107"/>
      <x:c r="K87" s="110" t="str">
        <x:f>IF(A87="","",IFERROR(VLOOKUP(C87,'Cấu hình'!$A$12:$D$19,2,FALSE),0))</x:f>
      </x:c>
      <x:c r="L87" s="92"/>
      <x:c r="M87" s="92"/>
      <x:c r="N87" s="95"/>
      <x:c r="O87" s="101"/>
      <x:c r="P87" s="101"/>
      <x:c r="Q87" s="101"/>
      <x:c r="R87" s="104" t="str">
        <x:f>IF(OR(P87="",D87=""),"",P87+IFERROR(VLOOKUP(D87,'Cấu hình'!$E$12:$G$15,3,FALSE),0))</x:f>
      </x:c>
      <x:c r="S87" s="101"/>
      <x:c r="T87" s="107"/>
      <x:c r="U87" s="113" t="str">
        <x:f>IF(A87="","",IF(S87&lt;&gt;"",0,IF(I87&lt;&gt;"",I87-TODAY(),IF(R87&lt;&gt;"",R87-TODAY(),""))))</x:f>
      </x:c>
      <x:c r="V87" s="113" t="str">
        <x:f>IF(A87="","",IF(S87&lt;&gt;"",MAX(0,S87-IF(I87&lt;&gt;"",I87,R87)),IF(OR(I87&lt;&gt;"",R87&lt;&gt;""),MAX(0,TODAY()-IF(I87&lt;&gt;"",I87,R87)),0)))</x:f>
      </x:c>
      <x:c r="W87" s="95"/>
      <x:c r="X87" s="95"/>
      <x:c r="Y87" s="92"/>
      <x:c r="Z87" s="92"/>
      <x:c r="AA87" s="92"/>
      <x:c r="AB87" s="92"/>
      <x:c r="AC87" s="113" t="str">
        <x:f>IF(A87="","",IF(P87="","",IF(S87&lt;&gt;"",S87-P87,TODAY()-P87)))</x:f>
      </x:c>
    </x:row>
    <x:row r="88" ht="28" customHeight="1">
      <x:c r="A88" s="92"/>
      <x:c r="B88" s="95"/>
      <x:c r="C88" s="92"/>
      <x:c r="D88" s="92"/>
      <x:c r="E88" s="92"/>
      <x:c r="F88" s="92"/>
      <x:c r="G88" s="92"/>
      <x:c r="H88" s="92"/>
      <x:c r="I88" s="101"/>
      <x:c r="J88" s="107"/>
      <x:c r="K88" s="110" t="str">
        <x:f>IF(A88="","",IFERROR(VLOOKUP(C88,'Cấu hình'!$A$12:$D$19,2,FALSE),0))</x:f>
      </x:c>
      <x:c r="L88" s="92"/>
      <x:c r="M88" s="92"/>
      <x:c r="N88" s="95"/>
      <x:c r="O88" s="101"/>
      <x:c r="P88" s="101"/>
      <x:c r="Q88" s="101"/>
      <x:c r="R88" s="104" t="str">
        <x:f>IF(OR(P88="",D88=""),"",P88+IFERROR(VLOOKUP(D88,'Cấu hình'!$E$12:$G$15,3,FALSE),0))</x:f>
      </x:c>
      <x:c r="S88" s="101"/>
      <x:c r="T88" s="107"/>
      <x:c r="U88" s="113" t="str">
        <x:f>IF(A88="","",IF(S88&lt;&gt;"",0,IF(I88&lt;&gt;"",I88-TODAY(),IF(R88&lt;&gt;"",R88-TODAY(),""))))</x:f>
      </x:c>
      <x:c r="V88" s="113" t="str">
        <x:f>IF(A88="","",IF(S88&lt;&gt;"",MAX(0,S88-IF(I88&lt;&gt;"",I88,R88)),IF(OR(I88&lt;&gt;"",R88&lt;&gt;""),MAX(0,TODAY()-IF(I88&lt;&gt;"",I88,R88)),0)))</x:f>
      </x:c>
      <x:c r="W88" s="95"/>
      <x:c r="X88" s="95"/>
      <x:c r="Y88" s="92"/>
      <x:c r="Z88" s="92"/>
      <x:c r="AA88" s="92"/>
      <x:c r="AB88" s="92"/>
      <x:c r="AC88" s="113" t="str">
        <x:f>IF(A88="","",IF(P88="","",IF(S88&lt;&gt;"",S88-P88,TODAY()-P88)))</x:f>
      </x:c>
    </x:row>
    <x:row r="89" ht="28" customHeight="1">
      <x:c r="A89" s="92"/>
      <x:c r="B89" s="95"/>
      <x:c r="C89" s="92"/>
      <x:c r="D89" s="92"/>
      <x:c r="E89" s="92"/>
      <x:c r="F89" s="92"/>
      <x:c r="G89" s="92"/>
      <x:c r="H89" s="92"/>
      <x:c r="I89" s="101"/>
      <x:c r="J89" s="107"/>
      <x:c r="K89" s="110" t="str">
        <x:f>IF(A89="","",IFERROR(VLOOKUP(C89,'Cấu hình'!$A$12:$D$19,2,FALSE),0))</x:f>
      </x:c>
      <x:c r="L89" s="92"/>
      <x:c r="M89" s="92"/>
      <x:c r="N89" s="95"/>
      <x:c r="O89" s="101"/>
      <x:c r="P89" s="101"/>
      <x:c r="Q89" s="101"/>
      <x:c r="R89" s="104" t="str">
        <x:f>IF(OR(P89="",D89=""),"",P89+IFERROR(VLOOKUP(D89,'Cấu hình'!$E$12:$G$15,3,FALSE),0))</x:f>
      </x:c>
      <x:c r="S89" s="101"/>
      <x:c r="T89" s="107"/>
      <x:c r="U89" s="113" t="str">
        <x:f>IF(A89="","",IF(S89&lt;&gt;"",0,IF(I89&lt;&gt;"",I89-TODAY(),IF(R89&lt;&gt;"",R89-TODAY(),""))))</x:f>
      </x:c>
      <x:c r="V89" s="113" t="str">
        <x:f>IF(A89="","",IF(S89&lt;&gt;"",MAX(0,S89-IF(I89&lt;&gt;"",I89,R89)),IF(OR(I89&lt;&gt;"",R89&lt;&gt;""),MAX(0,TODAY()-IF(I89&lt;&gt;"",I89,R89)),0)))</x:f>
      </x:c>
      <x:c r="W89" s="95"/>
      <x:c r="X89" s="95"/>
      <x:c r="Y89" s="92"/>
      <x:c r="Z89" s="92"/>
      <x:c r="AA89" s="92"/>
      <x:c r="AB89" s="92"/>
      <x:c r="AC89" s="113" t="str">
        <x:f>IF(A89="","",IF(P89="","",IF(S89&lt;&gt;"",S89-P89,TODAY()-P89)))</x:f>
      </x:c>
    </x:row>
    <x:row r="90" ht="28" customHeight="1">
      <x:c r="A90" s="92"/>
      <x:c r="B90" s="95"/>
      <x:c r="C90" s="92"/>
      <x:c r="D90" s="92"/>
      <x:c r="E90" s="92"/>
      <x:c r="F90" s="92"/>
      <x:c r="G90" s="92"/>
      <x:c r="H90" s="92"/>
      <x:c r="I90" s="101"/>
      <x:c r="J90" s="107"/>
      <x:c r="K90" s="110" t="str">
        <x:f>IF(A90="","",IFERROR(VLOOKUP(C90,'Cấu hình'!$A$12:$D$19,2,FALSE),0))</x:f>
      </x:c>
      <x:c r="L90" s="92"/>
      <x:c r="M90" s="92"/>
      <x:c r="N90" s="95"/>
      <x:c r="O90" s="101"/>
      <x:c r="P90" s="101"/>
      <x:c r="Q90" s="101"/>
      <x:c r="R90" s="104" t="str">
        <x:f>IF(OR(P90="",D90=""),"",P90+IFERROR(VLOOKUP(D90,'Cấu hình'!$E$12:$G$15,3,FALSE),0))</x:f>
      </x:c>
      <x:c r="S90" s="101"/>
      <x:c r="T90" s="107"/>
      <x:c r="U90" s="113" t="str">
        <x:f>IF(A90="","",IF(S90&lt;&gt;"",0,IF(I90&lt;&gt;"",I90-TODAY(),IF(R90&lt;&gt;"",R90-TODAY(),""))))</x:f>
      </x:c>
      <x:c r="V90" s="113" t="str">
        <x:f>IF(A90="","",IF(S90&lt;&gt;"",MAX(0,S90-IF(I90&lt;&gt;"",I90,R90)),IF(OR(I90&lt;&gt;"",R90&lt;&gt;""),MAX(0,TODAY()-IF(I90&lt;&gt;"",I90,R90)),0)))</x:f>
      </x:c>
      <x:c r="W90" s="95"/>
      <x:c r="X90" s="95"/>
      <x:c r="Y90" s="92"/>
      <x:c r="Z90" s="92"/>
      <x:c r="AA90" s="92"/>
      <x:c r="AB90" s="92"/>
      <x:c r="AC90" s="113" t="str">
        <x:f>IF(A90="","",IF(P90="","",IF(S90&lt;&gt;"",S90-P90,TODAY()-P90)))</x:f>
      </x:c>
    </x:row>
    <x:row r="91" ht="28" customHeight="1">
      <x:c r="A91" s="92"/>
      <x:c r="B91" s="95"/>
      <x:c r="C91" s="92"/>
      <x:c r="D91" s="92"/>
      <x:c r="E91" s="92"/>
      <x:c r="F91" s="92"/>
      <x:c r="G91" s="92"/>
      <x:c r="H91" s="92"/>
      <x:c r="I91" s="101"/>
      <x:c r="J91" s="107"/>
      <x:c r="K91" s="110" t="str">
        <x:f>IF(A91="","",IFERROR(VLOOKUP(C91,'Cấu hình'!$A$12:$D$19,2,FALSE),0))</x:f>
      </x:c>
      <x:c r="L91" s="92"/>
      <x:c r="M91" s="92"/>
      <x:c r="N91" s="95"/>
      <x:c r="O91" s="101"/>
      <x:c r="P91" s="101"/>
      <x:c r="Q91" s="101"/>
      <x:c r="R91" s="104" t="str">
        <x:f>IF(OR(P91="",D91=""),"",P91+IFERROR(VLOOKUP(D91,'Cấu hình'!$E$12:$G$15,3,FALSE),0))</x:f>
      </x:c>
      <x:c r="S91" s="101"/>
      <x:c r="T91" s="107"/>
      <x:c r="U91" s="113" t="str">
        <x:f>IF(A91="","",IF(S91&lt;&gt;"",0,IF(I91&lt;&gt;"",I91-TODAY(),IF(R91&lt;&gt;"",R91-TODAY(),""))))</x:f>
      </x:c>
      <x:c r="V91" s="113" t="str">
        <x:f>IF(A91="","",IF(S91&lt;&gt;"",MAX(0,S91-IF(I91&lt;&gt;"",I91,R91)),IF(OR(I91&lt;&gt;"",R91&lt;&gt;""),MAX(0,TODAY()-IF(I91&lt;&gt;"",I91,R91)),0)))</x:f>
      </x:c>
      <x:c r="W91" s="95"/>
      <x:c r="X91" s="95"/>
      <x:c r="Y91" s="92"/>
      <x:c r="Z91" s="92"/>
      <x:c r="AA91" s="92"/>
      <x:c r="AB91" s="92"/>
      <x:c r="AC91" s="113" t="str">
        <x:f>IF(A91="","",IF(P91="","",IF(S91&lt;&gt;"",S91-P91,TODAY()-P91)))</x:f>
      </x:c>
    </x:row>
    <x:row r="92" ht="28" customHeight="1">
      <x:c r="A92" s="92"/>
      <x:c r="B92" s="95"/>
      <x:c r="C92" s="92"/>
      <x:c r="D92" s="92"/>
      <x:c r="E92" s="92"/>
      <x:c r="F92" s="92"/>
      <x:c r="G92" s="92"/>
      <x:c r="H92" s="92"/>
      <x:c r="I92" s="101"/>
      <x:c r="J92" s="107"/>
      <x:c r="K92" s="110" t="str">
        <x:f>IF(A92="","",IFERROR(VLOOKUP(C92,'Cấu hình'!$A$12:$D$19,2,FALSE),0))</x:f>
      </x:c>
      <x:c r="L92" s="92"/>
      <x:c r="M92" s="92"/>
      <x:c r="N92" s="95"/>
      <x:c r="O92" s="101"/>
      <x:c r="P92" s="101"/>
      <x:c r="Q92" s="101"/>
      <x:c r="R92" s="104" t="str">
        <x:f>IF(OR(P92="",D92=""),"",P92+IFERROR(VLOOKUP(D92,'Cấu hình'!$E$12:$G$15,3,FALSE),0))</x:f>
      </x:c>
      <x:c r="S92" s="101"/>
      <x:c r="T92" s="107"/>
      <x:c r="U92" s="113" t="str">
        <x:f>IF(A92="","",IF(S92&lt;&gt;"",0,IF(I92&lt;&gt;"",I92-TODAY(),IF(R92&lt;&gt;"",R92-TODAY(),""))))</x:f>
      </x:c>
      <x:c r="V92" s="113" t="str">
        <x:f>IF(A92="","",IF(S92&lt;&gt;"",MAX(0,S92-IF(I92&lt;&gt;"",I92,R92)),IF(OR(I92&lt;&gt;"",R92&lt;&gt;""),MAX(0,TODAY()-IF(I92&lt;&gt;"",I92,R92)),0)))</x:f>
      </x:c>
      <x:c r="W92" s="95"/>
      <x:c r="X92" s="95"/>
      <x:c r="Y92" s="92"/>
      <x:c r="Z92" s="92"/>
      <x:c r="AA92" s="92"/>
      <x:c r="AB92" s="92"/>
      <x:c r="AC92" s="113" t="str">
        <x:f>IF(A92="","",IF(P92="","",IF(S92&lt;&gt;"",S92-P92,TODAY()-P92)))</x:f>
      </x:c>
    </x:row>
    <x:row r="93" ht="28" customHeight="1">
      <x:c r="A93" s="92"/>
      <x:c r="B93" s="95"/>
      <x:c r="C93" s="92"/>
      <x:c r="D93" s="92"/>
      <x:c r="E93" s="92"/>
      <x:c r="F93" s="92"/>
      <x:c r="G93" s="92"/>
      <x:c r="H93" s="92"/>
      <x:c r="I93" s="101"/>
      <x:c r="J93" s="107"/>
      <x:c r="K93" s="110" t="str">
        <x:f>IF(A93="","",IFERROR(VLOOKUP(C93,'Cấu hình'!$A$12:$D$19,2,FALSE),0))</x:f>
      </x:c>
      <x:c r="L93" s="92"/>
      <x:c r="M93" s="92"/>
      <x:c r="N93" s="95"/>
      <x:c r="O93" s="101"/>
      <x:c r="P93" s="101"/>
      <x:c r="Q93" s="101"/>
      <x:c r="R93" s="104" t="str">
        <x:f>IF(OR(P93="",D93=""),"",P93+IFERROR(VLOOKUP(D93,'Cấu hình'!$E$12:$G$15,3,FALSE),0))</x:f>
      </x:c>
      <x:c r="S93" s="101"/>
      <x:c r="T93" s="107"/>
      <x:c r="U93" s="113" t="str">
        <x:f>IF(A93="","",IF(S93&lt;&gt;"",0,IF(I93&lt;&gt;"",I93-TODAY(),IF(R93&lt;&gt;"",R93-TODAY(),""))))</x:f>
      </x:c>
      <x:c r="V93" s="113" t="str">
        <x:f>IF(A93="","",IF(S93&lt;&gt;"",MAX(0,S93-IF(I93&lt;&gt;"",I93,R93)),IF(OR(I93&lt;&gt;"",R93&lt;&gt;""),MAX(0,TODAY()-IF(I93&lt;&gt;"",I93,R93)),0)))</x:f>
      </x:c>
      <x:c r="W93" s="95"/>
      <x:c r="X93" s="95"/>
      <x:c r="Y93" s="92"/>
      <x:c r="Z93" s="92"/>
      <x:c r="AA93" s="92"/>
      <x:c r="AB93" s="92"/>
      <x:c r="AC93" s="113" t="str">
        <x:f>IF(A93="","",IF(P93="","",IF(S93&lt;&gt;"",S93-P93,TODAY()-P93)))</x:f>
      </x:c>
    </x:row>
    <x:row r="94" ht="28" customHeight="1">
      <x:c r="A94" s="92"/>
      <x:c r="B94" s="95"/>
      <x:c r="C94" s="92"/>
      <x:c r="D94" s="92"/>
      <x:c r="E94" s="92"/>
      <x:c r="F94" s="92"/>
      <x:c r="G94" s="92"/>
      <x:c r="H94" s="92"/>
      <x:c r="I94" s="101"/>
      <x:c r="J94" s="107"/>
      <x:c r="K94" s="110" t="str">
        <x:f>IF(A94="","",IFERROR(VLOOKUP(C94,'Cấu hình'!$A$12:$D$19,2,FALSE),0))</x:f>
      </x:c>
      <x:c r="L94" s="92"/>
      <x:c r="M94" s="92"/>
      <x:c r="N94" s="95"/>
      <x:c r="O94" s="101"/>
      <x:c r="P94" s="101"/>
      <x:c r="Q94" s="101"/>
      <x:c r="R94" s="104" t="str">
        <x:f>IF(OR(P94="",D94=""),"",P94+IFERROR(VLOOKUP(D94,'Cấu hình'!$E$12:$G$15,3,FALSE),0))</x:f>
      </x:c>
      <x:c r="S94" s="101"/>
      <x:c r="T94" s="107"/>
      <x:c r="U94" s="113" t="str">
        <x:f>IF(A94="","",IF(S94&lt;&gt;"",0,IF(I94&lt;&gt;"",I94-TODAY(),IF(R94&lt;&gt;"",R94-TODAY(),""))))</x:f>
      </x:c>
      <x:c r="V94" s="113" t="str">
        <x:f>IF(A94="","",IF(S94&lt;&gt;"",MAX(0,S94-IF(I94&lt;&gt;"",I94,R94)),IF(OR(I94&lt;&gt;"",R94&lt;&gt;""),MAX(0,TODAY()-IF(I94&lt;&gt;"",I94,R94)),0)))</x:f>
      </x:c>
      <x:c r="W94" s="95"/>
      <x:c r="X94" s="95"/>
      <x:c r="Y94" s="92"/>
      <x:c r="Z94" s="92"/>
      <x:c r="AA94" s="92"/>
      <x:c r="AB94" s="92"/>
      <x:c r="AC94" s="113" t="str">
        <x:f>IF(A94="","",IF(P94="","",IF(S94&lt;&gt;"",S94-P94,TODAY()-P94)))</x:f>
      </x:c>
    </x:row>
    <x:row r="95" ht="28" customHeight="1">
      <x:c r="A95" s="92"/>
      <x:c r="B95" s="95"/>
      <x:c r="C95" s="92"/>
      <x:c r="D95" s="92"/>
      <x:c r="E95" s="92"/>
      <x:c r="F95" s="92"/>
      <x:c r="G95" s="92"/>
      <x:c r="H95" s="92"/>
      <x:c r="I95" s="101"/>
      <x:c r="J95" s="107"/>
      <x:c r="K95" s="110" t="str">
        <x:f>IF(A95="","",IFERROR(VLOOKUP(C95,'Cấu hình'!$A$12:$D$19,2,FALSE),0))</x:f>
      </x:c>
      <x:c r="L95" s="92"/>
      <x:c r="M95" s="92"/>
      <x:c r="N95" s="95"/>
      <x:c r="O95" s="101"/>
      <x:c r="P95" s="101"/>
      <x:c r="Q95" s="101"/>
      <x:c r="R95" s="104" t="str">
        <x:f>IF(OR(P95="",D95=""),"",P95+IFERROR(VLOOKUP(D95,'Cấu hình'!$E$12:$G$15,3,FALSE),0))</x:f>
      </x:c>
      <x:c r="S95" s="101"/>
      <x:c r="T95" s="107"/>
      <x:c r="U95" s="113" t="str">
        <x:f>IF(A95="","",IF(S95&lt;&gt;"",0,IF(I95&lt;&gt;"",I95-TODAY(),IF(R95&lt;&gt;"",R95-TODAY(),""))))</x:f>
      </x:c>
      <x:c r="V95" s="113" t="str">
        <x:f>IF(A95="","",IF(S95&lt;&gt;"",MAX(0,S95-IF(I95&lt;&gt;"",I95,R95)),IF(OR(I95&lt;&gt;"",R95&lt;&gt;""),MAX(0,TODAY()-IF(I95&lt;&gt;"",I95,R95)),0)))</x:f>
      </x:c>
      <x:c r="W95" s="95"/>
      <x:c r="X95" s="95"/>
      <x:c r="Y95" s="92"/>
      <x:c r="Z95" s="92"/>
      <x:c r="AA95" s="92"/>
      <x:c r="AB95" s="92"/>
      <x:c r="AC95" s="113" t="str">
        <x:f>IF(A95="","",IF(P95="","",IF(S95&lt;&gt;"",S95-P95,TODAY()-P95)))</x:f>
      </x:c>
    </x:row>
    <x:row r="96" ht="28" customHeight="1">
      <x:c r="A96" s="92"/>
      <x:c r="B96" s="95"/>
      <x:c r="C96" s="92"/>
      <x:c r="D96" s="92"/>
      <x:c r="E96" s="92"/>
      <x:c r="F96" s="92"/>
      <x:c r="G96" s="92"/>
      <x:c r="H96" s="92"/>
      <x:c r="I96" s="101"/>
      <x:c r="J96" s="107"/>
      <x:c r="K96" s="110" t="str">
        <x:f>IF(A96="","",IFERROR(VLOOKUP(C96,'Cấu hình'!$A$12:$D$19,2,FALSE),0))</x:f>
      </x:c>
      <x:c r="L96" s="92"/>
      <x:c r="M96" s="92"/>
      <x:c r="N96" s="95"/>
      <x:c r="O96" s="101"/>
      <x:c r="P96" s="101"/>
      <x:c r="Q96" s="101"/>
      <x:c r="R96" s="104" t="str">
        <x:f>IF(OR(P96="",D96=""),"",P96+IFERROR(VLOOKUP(D96,'Cấu hình'!$E$12:$G$15,3,FALSE),0))</x:f>
      </x:c>
      <x:c r="S96" s="101"/>
      <x:c r="T96" s="107"/>
      <x:c r="U96" s="113" t="str">
        <x:f>IF(A96="","",IF(S96&lt;&gt;"",0,IF(I96&lt;&gt;"",I96-TODAY(),IF(R96&lt;&gt;"",R96-TODAY(),""))))</x:f>
      </x:c>
      <x:c r="V96" s="113" t="str">
        <x:f>IF(A96="","",IF(S96&lt;&gt;"",MAX(0,S96-IF(I96&lt;&gt;"",I96,R96)),IF(OR(I96&lt;&gt;"",R96&lt;&gt;""),MAX(0,TODAY()-IF(I96&lt;&gt;"",I96,R96)),0)))</x:f>
      </x:c>
      <x:c r="W96" s="95"/>
      <x:c r="X96" s="95"/>
      <x:c r="Y96" s="92"/>
      <x:c r="Z96" s="92"/>
      <x:c r="AA96" s="92"/>
      <x:c r="AB96" s="92"/>
      <x:c r="AC96" s="113" t="str">
        <x:f>IF(A96="","",IF(P96="","",IF(S96&lt;&gt;"",S96-P96,TODAY()-P96)))</x:f>
      </x:c>
    </x:row>
    <x:row r="97" ht="28" customHeight="1">
      <x:c r="A97" s="92"/>
      <x:c r="B97" s="95"/>
      <x:c r="C97" s="92"/>
      <x:c r="D97" s="92"/>
      <x:c r="E97" s="92"/>
      <x:c r="F97" s="92"/>
      <x:c r="G97" s="92"/>
      <x:c r="H97" s="92"/>
      <x:c r="I97" s="101"/>
      <x:c r="J97" s="107"/>
      <x:c r="K97" s="110" t="str">
        <x:f>IF(A97="","",IFERROR(VLOOKUP(C97,'Cấu hình'!$A$12:$D$19,2,FALSE),0))</x:f>
      </x:c>
      <x:c r="L97" s="92"/>
      <x:c r="M97" s="92"/>
      <x:c r="N97" s="95"/>
      <x:c r="O97" s="101"/>
      <x:c r="P97" s="101"/>
      <x:c r="Q97" s="101"/>
      <x:c r="R97" s="104" t="str">
        <x:f>IF(OR(P97="",D97=""),"",P97+IFERROR(VLOOKUP(D97,'Cấu hình'!$E$12:$G$15,3,FALSE),0))</x:f>
      </x:c>
      <x:c r="S97" s="101"/>
      <x:c r="T97" s="107"/>
      <x:c r="U97" s="113" t="str">
        <x:f>IF(A97="","",IF(S97&lt;&gt;"",0,IF(I97&lt;&gt;"",I97-TODAY(),IF(R97&lt;&gt;"",R97-TODAY(),""))))</x:f>
      </x:c>
      <x:c r="V97" s="113" t="str">
        <x:f>IF(A97="","",IF(S97&lt;&gt;"",MAX(0,S97-IF(I97&lt;&gt;"",I97,R97)),IF(OR(I97&lt;&gt;"",R97&lt;&gt;""),MAX(0,TODAY()-IF(I97&lt;&gt;"",I97,R97)),0)))</x:f>
      </x:c>
      <x:c r="W97" s="95"/>
      <x:c r="X97" s="95"/>
      <x:c r="Y97" s="92"/>
      <x:c r="Z97" s="92"/>
      <x:c r="AA97" s="92"/>
      <x:c r="AB97" s="92"/>
      <x:c r="AC97" s="113" t="str">
        <x:f>IF(A97="","",IF(P97="","",IF(S97&lt;&gt;"",S97-P97,TODAY()-P97)))</x:f>
      </x:c>
    </x:row>
    <x:row r="98" ht="28" customHeight="1">
      <x:c r="A98" s="92"/>
      <x:c r="B98" s="95"/>
      <x:c r="C98" s="92"/>
      <x:c r="D98" s="92"/>
      <x:c r="E98" s="92"/>
      <x:c r="F98" s="92"/>
      <x:c r="G98" s="92"/>
      <x:c r="H98" s="92"/>
      <x:c r="I98" s="101"/>
      <x:c r="J98" s="107"/>
      <x:c r="K98" s="110" t="str">
        <x:f>IF(A98="","",IFERROR(VLOOKUP(C98,'Cấu hình'!$A$12:$D$19,2,FALSE),0))</x:f>
      </x:c>
      <x:c r="L98" s="92"/>
      <x:c r="M98" s="92"/>
      <x:c r="N98" s="95"/>
      <x:c r="O98" s="101"/>
      <x:c r="P98" s="101"/>
      <x:c r="Q98" s="101"/>
      <x:c r="R98" s="104" t="str">
        <x:f>IF(OR(P98="",D98=""),"",P98+IFERROR(VLOOKUP(D98,'Cấu hình'!$E$12:$G$15,3,FALSE),0))</x:f>
      </x:c>
      <x:c r="S98" s="101"/>
      <x:c r="T98" s="107"/>
      <x:c r="U98" s="113" t="str">
        <x:f>IF(A98="","",IF(S98&lt;&gt;"",0,IF(I98&lt;&gt;"",I98-TODAY(),IF(R98&lt;&gt;"",R98-TODAY(),""))))</x:f>
      </x:c>
      <x:c r="V98" s="113" t="str">
        <x:f>IF(A98="","",IF(S98&lt;&gt;"",MAX(0,S98-IF(I98&lt;&gt;"",I98,R98)),IF(OR(I98&lt;&gt;"",R98&lt;&gt;""),MAX(0,TODAY()-IF(I98&lt;&gt;"",I98,R98)),0)))</x:f>
      </x:c>
      <x:c r="W98" s="95"/>
      <x:c r="X98" s="95"/>
      <x:c r="Y98" s="92"/>
      <x:c r="Z98" s="92"/>
      <x:c r="AA98" s="92"/>
      <x:c r="AB98" s="92"/>
      <x:c r="AC98" s="113" t="str">
        <x:f>IF(A98="","",IF(P98="","",IF(S98&lt;&gt;"",S98-P98,TODAY()-P98)))</x:f>
      </x:c>
    </x:row>
    <x:row r="99" ht="28" customHeight="1">
      <x:c r="A99" s="92"/>
      <x:c r="B99" s="95"/>
      <x:c r="C99" s="92"/>
      <x:c r="D99" s="92"/>
      <x:c r="E99" s="92"/>
      <x:c r="F99" s="92"/>
      <x:c r="G99" s="92"/>
      <x:c r="H99" s="92"/>
      <x:c r="I99" s="101"/>
      <x:c r="J99" s="107"/>
      <x:c r="K99" s="110" t="str">
        <x:f>IF(A99="","",IFERROR(VLOOKUP(C99,'Cấu hình'!$A$12:$D$19,2,FALSE),0))</x:f>
      </x:c>
      <x:c r="L99" s="92"/>
      <x:c r="M99" s="92"/>
      <x:c r="N99" s="95"/>
      <x:c r="O99" s="101"/>
      <x:c r="P99" s="101"/>
      <x:c r="Q99" s="101"/>
      <x:c r="R99" s="104" t="str">
        <x:f>IF(OR(P99="",D99=""),"",P99+IFERROR(VLOOKUP(D99,'Cấu hình'!$E$12:$G$15,3,FALSE),0))</x:f>
      </x:c>
      <x:c r="S99" s="101"/>
      <x:c r="T99" s="107"/>
      <x:c r="U99" s="113" t="str">
        <x:f>IF(A99="","",IF(S99&lt;&gt;"",0,IF(I99&lt;&gt;"",I99-TODAY(),IF(R99&lt;&gt;"",R99-TODAY(),""))))</x:f>
      </x:c>
      <x:c r="V99" s="113" t="str">
        <x:f>IF(A99="","",IF(S99&lt;&gt;"",MAX(0,S99-IF(I99&lt;&gt;"",I99,R99)),IF(OR(I99&lt;&gt;"",R99&lt;&gt;""),MAX(0,TODAY()-IF(I99&lt;&gt;"",I99,R99)),0)))</x:f>
      </x:c>
      <x:c r="W99" s="95"/>
      <x:c r="X99" s="95"/>
      <x:c r="Y99" s="92"/>
      <x:c r="Z99" s="92"/>
      <x:c r="AA99" s="92"/>
      <x:c r="AB99" s="92"/>
      <x:c r="AC99" s="113" t="str">
        <x:f>IF(A99="","",IF(P99="","",IF(S99&lt;&gt;"",S99-P99,TODAY()-P99)))</x:f>
      </x:c>
    </x:row>
    <x:row r="100" ht="28" customHeight="1">
      <x:c r="A100" s="92"/>
      <x:c r="B100" s="95"/>
      <x:c r="C100" s="92"/>
      <x:c r="D100" s="92"/>
      <x:c r="E100" s="92"/>
      <x:c r="F100" s="92"/>
      <x:c r="G100" s="92"/>
      <x:c r="H100" s="92"/>
      <x:c r="I100" s="101"/>
      <x:c r="J100" s="107"/>
      <x:c r="K100" s="110" t="str">
        <x:f>IF(A100="","",IFERROR(VLOOKUP(C100,'Cấu hình'!$A$12:$D$19,2,FALSE),0))</x:f>
      </x:c>
      <x:c r="L100" s="92"/>
      <x:c r="M100" s="92"/>
      <x:c r="N100" s="95"/>
      <x:c r="O100" s="101"/>
      <x:c r="P100" s="101"/>
      <x:c r="Q100" s="101"/>
      <x:c r="R100" s="104" t="str">
        <x:f>IF(OR(P100="",D100=""),"",P100+IFERROR(VLOOKUP(D100,'Cấu hình'!$E$12:$G$15,3,FALSE),0))</x:f>
      </x:c>
      <x:c r="S100" s="101"/>
      <x:c r="T100" s="107"/>
      <x:c r="U100" s="113" t="str">
        <x:f>IF(A100="","",IF(S100&lt;&gt;"",0,IF(I100&lt;&gt;"",I100-TODAY(),IF(R100&lt;&gt;"",R100-TODAY(),""))))</x:f>
      </x:c>
      <x:c r="V100" s="113" t="str">
        <x:f>IF(A100="","",IF(S100&lt;&gt;"",MAX(0,S100-IF(I100&lt;&gt;"",I100,R100)),IF(OR(I100&lt;&gt;"",R100&lt;&gt;""),MAX(0,TODAY()-IF(I100&lt;&gt;"",I100,R100)),0)))</x:f>
      </x:c>
      <x:c r="W100" s="95"/>
      <x:c r="X100" s="95"/>
      <x:c r="Y100" s="92"/>
      <x:c r="Z100" s="92"/>
      <x:c r="AA100" s="92"/>
      <x:c r="AB100" s="92"/>
      <x:c r="AC100" s="113" t="str">
        <x:f>IF(A100="","",IF(P100="","",IF(S100&lt;&gt;"",S100-P100,TODAY()-P100)))</x:f>
      </x:c>
    </x:row>
    <x:row r="101" ht="28" customHeight="1">
      <x:c r="A101" s="92"/>
      <x:c r="B101" s="95"/>
      <x:c r="C101" s="92"/>
      <x:c r="D101" s="92"/>
      <x:c r="E101" s="92"/>
      <x:c r="F101" s="92"/>
      <x:c r="G101" s="92"/>
      <x:c r="H101" s="92"/>
      <x:c r="I101" s="101"/>
      <x:c r="J101" s="107"/>
      <x:c r="K101" s="110" t="str">
        <x:f>IF(A101="","",IFERROR(VLOOKUP(C101,'Cấu hình'!$A$12:$D$19,2,FALSE),0))</x:f>
      </x:c>
      <x:c r="L101" s="92"/>
      <x:c r="M101" s="92"/>
      <x:c r="N101" s="95"/>
      <x:c r="O101" s="101"/>
      <x:c r="P101" s="101"/>
      <x:c r="Q101" s="101"/>
      <x:c r="R101" s="104" t="str">
        <x:f>IF(OR(P101="",D101=""),"",P101+IFERROR(VLOOKUP(D101,'Cấu hình'!$E$12:$G$15,3,FALSE),0))</x:f>
      </x:c>
      <x:c r="S101" s="101"/>
      <x:c r="T101" s="107"/>
      <x:c r="U101" s="113" t="str">
        <x:f>IF(A101="","",IF(S101&lt;&gt;"",0,IF(I101&lt;&gt;"",I101-TODAY(),IF(R101&lt;&gt;"",R101-TODAY(),""))))</x:f>
      </x:c>
      <x:c r="V101" s="113" t="str">
        <x:f>IF(A101="","",IF(S101&lt;&gt;"",MAX(0,S101-IF(I101&lt;&gt;"",I101,R101)),IF(OR(I101&lt;&gt;"",R101&lt;&gt;""),MAX(0,TODAY()-IF(I101&lt;&gt;"",I101,R101)),0)))</x:f>
      </x:c>
      <x:c r="W101" s="95"/>
      <x:c r="X101" s="95"/>
      <x:c r="Y101" s="92"/>
      <x:c r="Z101" s="92"/>
      <x:c r="AA101" s="92"/>
      <x:c r="AB101" s="92"/>
      <x:c r="AC101" s="113" t="str">
        <x:f>IF(A101="","",IF(P101="","",IF(S101&lt;&gt;"",S101-P101,TODAY()-P101)))</x:f>
      </x:c>
    </x:row>
    <x:row r="102" ht="28" customHeight="1">
      <x:c r="A102" s="92"/>
      <x:c r="B102" s="95"/>
      <x:c r="C102" s="92"/>
      <x:c r="D102" s="92"/>
      <x:c r="E102" s="92"/>
      <x:c r="F102" s="92"/>
      <x:c r="G102" s="92"/>
      <x:c r="H102" s="92"/>
      <x:c r="I102" s="101"/>
      <x:c r="J102" s="107"/>
      <x:c r="K102" s="110" t="str">
        <x:f>IF(A102="","",IFERROR(VLOOKUP(C102,'Cấu hình'!$A$12:$D$19,2,FALSE),0))</x:f>
      </x:c>
      <x:c r="L102" s="92"/>
      <x:c r="M102" s="92"/>
      <x:c r="N102" s="95"/>
      <x:c r="O102" s="101"/>
      <x:c r="P102" s="101"/>
      <x:c r="Q102" s="101"/>
      <x:c r="R102" s="104" t="str">
        <x:f>IF(OR(P102="",D102=""),"",P102+IFERROR(VLOOKUP(D102,'Cấu hình'!$E$12:$G$15,3,FALSE),0))</x:f>
      </x:c>
      <x:c r="S102" s="101"/>
      <x:c r="T102" s="107"/>
      <x:c r="U102" s="113" t="str">
        <x:f>IF(A102="","",IF(S102&lt;&gt;"",0,IF(I102&lt;&gt;"",I102-TODAY(),IF(R102&lt;&gt;"",R102-TODAY(),""))))</x:f>
      </x:c>
      <x:c r="V102" s="113" t="str">
        <x:f>IF(A102="","",IF(S102&lt;&gt;"",MAX(0,S102-IF(I102&lt;&gt;"",I102,R102)),IF(OR(I102&lt;&gt;"",R102&lt;&gt;""),MAX(0,TODAY()-IF(I102&lt;&gt;"",I102,R102)),0)))</x:f>
      </x:c>
      <x:c r="W102" s="95"/>
      <x:c r="X102" s="95"/>
      <x:c r="Y102" s="92"/>
      <x:c r="Z102" s="92"/>
      <x:c r="AA102" s="92"/>
      <x:c r="AB102" s="92"/>
      <x:c r="AC102" s="113" t="str">
        <x:f>IF(A102="","",IF(P102="","",IF(S102&lt;&gt;"",S102-P102,TODAY()-P102)))</x:f>
      </x:c>
    </x:row>
    <x:row r="103" ht="28" customHeight="1">
      <x:c r="A103" s="92"/>
      <x:c r="B103" s="95"/>
      <x:c r="C103" s="92"/>
      <x:c r="D103" s="92"/>
      <x:c r="E103" s="92"/>
      <x:c r="F103" s="92"/>
      <x:c r="G103" s="92"/>
      <x:c r="H103" s="92"/>
      <x:c r="I103" s="101"/>
      <x:c r="J103" s="107"/>
      <x:c r="K103" s="110" t="str">
        <x:f>IF(A103="","",IFERROR(VLOOKUP(C103,'Cấu hình'!$A$12:$D$19,2,FALSE),0))</x:f>
      </x:c>
      <x:c r="L103" s="92"/>
      <x:c r="M103" s="92"/>
      <x:c r="N103" s="95"/>
      <x:c r="O103" s="101"/>
      <x:c r="P103" s="101"/>
      <x:c r="Q103" s="101"/>
      <x:c r="R103" s="104" t="str">
        <x:f>IF(OR(P103="",D103=""),"",P103+IFERROR(VLOOKUP(D103,'Cấu hình'!$E$12:$G$15,3,FALSE),0))</x:f>
      </x:c>
      <x:c r="S103" s="101"/>
      <x:c r="T103" s="107"/>
      <x:c r="U103" s="113" t="str">
        <x:f>IF(A103="","",IF(S103&lt;&gt;"",0,IF(I103&lt;&gt;"",I103-TODAY(),IF(R103&lt;&gt;"",R103-TODAY(),""))))</x:f>
      </x:c>
      <x:c r="V103" s="113" t="str">
        <x:f>IF(A103="","",IF(S103&lt;&gt;"",MAX(0,S103-IF(I103&lt;&gt;"",I103,R103)),IF(OR(I103&lt;&gt;"",R103&lt;&gt;""),MAX(0,TODAY()-IF(I103&lt;&gt;"",I103,R103)),0)))</x:f>
      </x:c>
      <x:c r="W103" s="95"/>
      <x:c r="X103" s="95"/>
      <x:c r="Y103" s="92"/>
      <x:c r="Z103" s="92"/>
      <x:c r="AA103" s="92"/>
      <x:c r="AB103" s="92"/>
      <x:c r="AC103" s="113" t="str">
        <x:f>IF(A103="","",IF(P103="","",IF(S103&lt;&gt;"",S103-P103,TODAY()-P103)))</x:f>
      </x:c>
    </x:row>
    <x:row r="104" ht="28" customHeight="1">
      <x:c r="A104" s="92"/>
      <x:c r="B104" s="95"/>
      <x:c r="C104" s="92"/>
      <x:c r="D104" s="92"/>
      <x:c r="E104" s="92"/>
      <x:c r="F104" s="92"/>
      <x:c r="G104" s="92"/>
      <x:c r="H104" s="92"/>
      <x:c r="I104" s="101"/>
      <x:c r="J104" s="107"/>
      <x:c r="K104" s="110" t="str">
        <x:f>IF(A104="","",IFERROR(VLOOKUP(C104,'Cấu hình'!$A$12:$D$19,2,FALSE),0))</x:f>
      </x:c>
      <x:c r="L104" s="92"/>
      <x:c r="M104" s="92"/>
      <x:c r="N104" s="95"/>
      <x:c r="O104" s="101"/>
      <x:c r="P104" s="101"/>
      <x:c r="Q104" s="101"/>
      <x:c r="R104" s="104" t="str">
        <x:f>IF(OR(P104="",D104=""),"",P104+IFERROR(VLOOKUP(D104,'Cấu hình'!$E$12:$G$15,3,FALSE),0))</x:f>
      </x:c>
      <x:c r="S104" s="101"/>
      <x:c r="T104" s="107"/>
      <x:c r="U104" s="113" t="str">
        <x:f>IF(A104="","",IF(S104&lt;&gt;"",0,IF(I104&lt;&gt;"",I104-TODAY(),IF(R104&lt;&gt;"",R104-TODAY(),""))))</x:f>
      </x:c>
      <x:c r="V104" s="113" t="str">
        <x:f>IF(A104="","",IF(S104&lt;&gt;"",MAX(0,S104-IF(I104&lt;&gt;"",I104,R104)),IF(OR(I104&lt;&gt;"",R104&lt;&gt;""),MAX(0,TODAY()-IF(I104&lt;&gt;"",I104,R104)),0)))</x:f>
      </x:c>
      <x:c r="W104" s="95"/>
      <x:c r="X104" s="95"/>
      <x:c r="Y104" s="92"/>
      <x:c r="Z104" s="92"/>
      <x:c r="AA104" s="92"/>
      <x:c r="AB104" s="92"/>
      <x:c r="AC104" s="113" t="str">
        <x:f>IF(A104="","",IF(P104="","",IF(S104&lt;&gt;"",S104-P104,TODAY()-P104)))</x:f>
      </x:c>
    </x:row>
    <x:row r="105" ht="28" customHeight="1">
      <x:c r="A105" s="92"/>
      <x:c r="B105" s="95"/>
      <x:c r="C105" s="92"/>
      <x:c r="D105" s="92"/>
      <x:c r="E105" s="92"/>
      <x:c r="F105" s="92"/>
      <x:c r="G105" s="92"/>
      <x:c r="H105" s="92"/>
      <x:c r="I105" s="101"/>
      <x:c r="J105" s="107"/>
      <x:c r="K105" s="110" t="str">
        <x:f>IF(A105="","",IFERROR(VLOOKUP(C105,'Cấu hình'!$A$12:$D$19,2,FALSE),0))</x:f>
      </x:c>
      <x:c r="L105" s="92"/>
      <x:c r="M105" s="92"/>
      <x:c r="N105" s="95"/>
      <x:c r="O105" s="101"/>
      <x:c r="P105" s="101"/>
      <x:c r="Q105" s="101"/>
      <x:c r="R105" s="104" t="str">
        <x:f>IF(OR(P105="",D105=""),"",P105+IFERROR(VLOOKUP(D105,'Cấu hình'!$E$12:$G$15,3,FALSE),0))</x:f>
      </x:c>
      <x:c r="S105" s="101"/>
      <x:c r="T105" s="107"/>
      <x:c r="U105" s="113" t="str">
        <x:f>IF(A105="","",IF(S105&lt;&gt;"",0,IF(I105&lt;&gt;"",I105-TODAY(),IF(R105&lt;&gt;"",R105-TODAY(),""))))</x:f>
      </x:c>
      <x:c r="V105" s="113" t="str">
        <x:f>IF(A105="","",IF(S105&lt;&gt;"",MAX(0,S105-IF(I105&lt;&gt;"",I105,R105)),IF(OR(I105&lt;&gt;"",R105&lt;&gt;""),MAX(0,TODAY()-IF(I105&lt;&gt;"",I105,R105)),0)))</x:f>
      </x:c>
      <x:c r="W105" s="95"/>
      <x:c r="X105" s="95"/>
      <x:c r="Y105" s="92"/>
      <x:c r="Z105" s="92"/>
      <x:c r="AA105" s="92"/>
      <x:c r="AB105" s="92"/>
      <x:c r="AC105" s="113" t="str">
        <x:f>IF(A105="","",IF(P105="","",IF(S105&lt;&gt;"",S105-P105,TODAY()-P105)))</x:f>
      </x:c>
    </x:row>
    <x:row r="106" ht="28" customHeight="1">
      <x:c r="A106" s="92"/>
      <x:c r="B106" s="95"/>
      <x:c r="C106" s="92"/>
      <x:c r="D106" s="92"/>
      <x:c r="E106" s="92"/>
      <x:c r="F106" s="92"/>
      <x:c r="G106" s="92"/>
      <x:c r="H106" s="92"/>
      <x:c r="I106" s="101"/>
      <x:c r="J106" s="107"/>
      <x:c r="K106" s="110" t="str">
        <x:f>IF(A106="","",IFERROR(VLOOKUP(C106,'Cấu hình'!$A$12:$D$19,2,FALSE),0))</x:f>
      </x:c>
      <x:c r="L106" s="92"/>
      <x:c r="M106" s="92"/>
      <x:c r="N106" s="95"/>
      <x:c r="O106" s="101"/>
      <x:c r="P106" s="101"/>
      <x:c r="Q106" s="101"/>
      <x:c r="R106" s="104" t="str">
        <x:f>IF(OR(P106="",D106=""),"",P106+IFERROR(VLOOKUP(D106,'Cấu hình'!$E$12:$G$15,3,FALSE),0))</x:f>
      </x:c>
      <x:c r="S106" s="101"/>
      <x:c r="T106" s="107"/>
      <x:c r="U106" s="113" t="str">
        <x:f>IF(A106="","",IF(S106&lt;&gt;"",0,IF(I106&lt;&gt;"",I106-TODAY(),IF(R106&lt;&gt;"",R106-TODAY(),""))))</x:f>
      </x:c>
      <x:c r="V106" s="113" t="str">
        <x:f>IF(A106="","",IF(S106&lt;&gt;"",MAX(0,S106-IF(I106&lt;&gt;"",I106,R106)),IF(OR(I106&lt;&gt;"",R106&lt;&gt;""),MAX(0,TODAY()-IF(I106&lt;&gt;"",I106,R106)),0)))</x:f>
      </x:c>
      <x:c r="W106" s="95"/>
      <x:c r="X106" s="95"/>
      <x:c r="Y106" s="92"/>
      <x:c r="Z106" s="92"/>
      <x:c r="AA106" s="92"/>
      <x:c r="AB106" s="92"/>
      <x:c r="AC106" s="113" t="str">
        <x:f>IF(A106="","",IF(P106="","",IF(S106&lt;&gt;"",S106-P106,TODAY()-P106)))</x:f>
      </x:c>
    </x:row>
    <x:row r="107" ht="28" customHeight="1">
      <x:c r="A107" s="92"/>
      <x:c r="B107" s="95"/>
      <x:c r="C107" s="92"/>
      <x:c r="D107" s="92"/>
      <x:c r="E107" s="92"/>
      <x:c r="F107" s="92"/>
      <x:c r="G107" s="92"/>
      <x:c r="H107" s="92"/>
      <x:c r="I107" s="101"/>
      <x:c r="J107" s="107"/>
      <x:c r="K107" s="110" t="str">
        <x:f>IF(A107="","",IFERROR(VLOOKUP(C107,'Cấu hình'!$A$12:$D$19,2,FALSE),0))</x:f>
      </x:c>
      <x:c r="L107" s="92"/>
      <x:c r="M107" s="92"/>
      <x:c r="N107" s="95"/>
      <x:c r="O107" s="101"/>
      <x:c r="P107" s="101"/>
      <x:c r="Q107" s="101"/>
      <x:c r="R107" s="104" t="str">
        <x:f>IF(OR(P107="",D107=""),"",P107+IFERROR(VLOOKUP(D107,'Cấu hình'!$E$12:$G$15,3,FALSE),0))</x:f>
      </x:c>
      <x:c r="S107" s="101"/>
      <x:c r="T107" s="107"/>
      <x:c r="U107" s="113" t="str">
        <x:f>IF(A107="","",IF(S107&lt;&gt;"",0,IF(I107&lt;&gt;"",I107-TODAY(),IF(R107&lt;&gt;"",R107-TODAY(),""))))</x:f>
      </x:c>
      <x:c r="V107" s="113" t="str">
        <x:f>IF(A107="","",IF(S107&lt;&gt;"",MAX(0,S107-IF(I107&lt;&gt;"",I107,R107)),IF(OR(I107&lt;&gt;"",R107&lt;&gt;""),MAX(0,TODAY()-IF(I107&lt;&gt;"",I107,R107)),0)))</x:f>
      </x:c>
      <x:c r="W107" s="95"/>
      <x:c r="X107" s="95"/>
      <x:c r="Y107" s="92"/>
      <x:c r="Z107" s="92"/>
      <x:c r="AA107" s="92"/>
      <x:c r="AB107" s="92"/>
      <x:c r="AC107" s="113" t="str">
        <x:f>IF(A107="","",IF(P107="","",IF(S107&lt;&gt;"",S107-P107,TODAY()-P107)))</x:f>
      </x:c>
    </x:row>
    <x:row r="108" ht="28" customHeight="1">
      <x:c r="A108" s="92"/>
      <x:c r="B108" s="95"/>
      <x:c r="C108" s="92"/>
      <x:c r="D108" s="92"/>
      <x:c r="E108" s="92"/>
      <x:c r="F108" s="92"/>
      <x:c r="G108" s="92"/>
      <x:c r="H108" s="92"/>
      <x:c r="I108" s="101"/>
      <x:c r="J108" s="107"/>
      <x:c r="K108" s="110" t="str">
        <x:f>IF(A108="","",IFERROR(VLOOKUP(C108,'Cấu hình'!$A$12:$D$19,2,FALSE),0))</x:f>
      </x:c>
      <x:c r="L108" s="92"/>
      <x:c r="M108" s="92"/>
      <x:c r="N108" s="95"/>
      <x:c r="O108" s="101"/>
      <x:c r="P108" s="101"/>
      <x:c r="Q108" s="101"/>
      <x:c r="R108" s="104" t="str">
        <x:f>IF(OR(P108="",D108=""),"",P108+IFERROR(VLOOKUP(D108,'Cấu hình'!$E$12:$G$15,3,FALSE),0))</x:f>
      </x:c>
      <x:c r="S108" s="101"/>
      <x:c r="T108" s="107"/>
      <x:c r="U108" s="113" t="str">
        <x:f>IF(A108="","",IF(S108&lt;&gt;"",0,IF(I108&lt;&gt;"",I108-TODAY(),IF(R108&lt;&gt;"",R108-TODAY(),""))))</x:f>
      </x:c>
      <x:c r="V108" s="113" t="str">
        <x:f>IF(A108="","",IF(S108&lt;&gt;"",MAX(0,S108-IF(I108&lt;&gt;"",I108,R108)),IF(OR(I108&lt;&gt;"",R108&lt;&gt;""),MAX(0,TODAY()-IF(I108&lt;&gt;"",I108,R108)),0)))</x:f>
      </x:c>
      <x:c r="W108" s="95"/>
      <x:c r="X108" s="95"/>
      <x:c r="Y108" s="92"/>
      <x:c r="Z108" s="92"/>
      <x:c r="AA108" s="92"/>
      <x:c r="AB108" s="92"/>
      <x:c r="AC108" s="113" t="str">
        <x:f>IF(A108="","",IF(P108="","",IF(S108&lt;&gt;"",S108-P108,TODAY()-P108)))</x:f>
      </x:c>
    </x:row>
    <x:row r="109" ht="28" customHeight="1">
      <x:c r="A109" s="92"/>
      <x:c r="B109" s="95"/>
      <x:c r="C109" s="92"/>
      <x:c r="D109" s="92"/>
      <x:c r="E109" s="92"/>
      <x:c r="F109" s="92"/>
      <x:c r="G109" s="92"/>
      <x:c r="H109" s="92"/>
      <x:c r="I109" s="101"/>
      <x:c r="J109" s="107"/>
      <x:c r="K109" s="110" t="str">
        <x:f>IF(A109="","",IFERROR(VLOOKUP(C109,'Cấu hình'!$A$12:$D$19,2,FALSE),0))</x:f>
      </x:c>
      <x:c r="L109" s="92"/>
      <x:c r="M109" s="92"/>
      <x:c r="N109" s="95"/>
      <x:c r="O109" s="101"/>
      <x:c r="P109" s="101"/>
      <x:c r="Q109" s="101"/>
      <x:c r="R109" s="104" t="str">
        <x:f>IF(OR(P109="",D109=""),"",P109+IFERROR(VLOOKUP(D109,'Cấu hình'!$E$12:$G$15,3,FALSE),0))</x:f>
      </x:c>
      <x:c r="S109" s="101"/>
      <x:c r="T109" s="107"/>
      <x:c r="U109" s="113" t="str">
        <x:f>IF(A109="","",IF(S109&lt;&gt;"",0,IF(I109&lt;&gt;"",I109-TODAY(),IF(R109&lt;&gt;"",R109-TODAY(),""))))</x:f>
      </x:c>
      <x:c r="V109" s="113" t="str">
        <x:f>IF(A109="","",IF(S109&lt;&gt;"",MAX(0,S109-IF(I109&lt;&gt;"",I109,R109)),IF(OR(I109&lt;&gt;"",R109&lt;&gt;""),MAX(0,TODAY()-IF(I109&lt;&gt;"",I109,R109)),0)))</x:f>
      </x:c>
      <x:c r="W109" s="95"/>
      <x:c r="X109" s="95"/>
      <x:c r="Y109" s="92"/>
      <x:c r="Z109" s="92"/>
      <x:c r="AA109" s="92"/>
      <x:c r="AB109" s="92"/>
      <x:c r="AC109" s="113" t="str">
        <x:f>IF(A109="","",IF(P109="","",IF(S109&lt;&gt;"",S109-P109,TODAY()-P109)))</x:f>
      </x:c>
    </x:row>
    <x:row r="110" ht="28" customHeight="1">
      <x:c r="A110" s="92"/>
      <x:c r="B110" s="95"/>
      <x:c r="C110" s="92"/>
      <x:c r="D110" s="92"/>
      <x:c r="E110" s="92"/>
      <x:c r="F110" s="92"/>
      <x:c r="G110" s="92"/>
      <x:c r="H110" s="92"/>
      <x:c r="I110" s="101"/>
      <x:c r="J110" s="107"/>
      <x:c r="K110" s="110" t="str">
        <x:f>IF(A110="","",IFERROR(VLOOKUP(C110,'Cấu hình'!$A$12:$D$19,2,FALSE),0))</x:f>
      </x:c>
      <x:c r="L110" s="92"/>
      <x:c r="M110" s="92"/>
      <x:c r="N110" s="95"/>
      <x:c r="O110" s="101"/>
      <x:c r="P110" s="101"/>
      <x:c r="Q110" s="101"/>
      <x:c r="R110" s="104" t="str">
        <x:f>IF(OR(P110="",D110=""),"",P110+IFERROR(VLOOKUP(D110,'Cấu hình'!$E$12:$G$15,3,FALSE),0))</x:f>
      </x:c>
      <x:c r="S110" s="101"/>
      <x:c r="T110" s="107"/>
      <x:c r="U110" s="113" t="str">
        <x:f>IF(A110="","",IF(S110&lt;&gt;"",0,IF(I110&lt;&gt;"",I110-TODAY(),IF(R110&lt;&gt;"",R110-TODAY(),""))))</x:f>
      </x:c>
      <x:c r="V110" s="113" t="str">
        <x:f>IF(A110="","",IF(S110&lt;&gt;"",MAX(0,S110-IF(I110&lt;&gt;"",I110,R110)),IF(OR(I110&lt;&gt;"",R110&lt;&gt;""),MAX(0,TODAY()-IF(I110&lt;&gt;"",I110,R110)),0)))</x:f>
      </x:c>
      <x:c r="W110" s="95"/>
      <x:c r="X110" s="95"/>
      <x:c r="Y110" s="92"/>
      <x:c r="Z110" s="92"/>
      <x:c r="AA110" s="92"/>
      <x:c r="AB110" s="92"/>
      <x:c r="AC110" s="113" t="str">
        <x:f>IF(A110="","",IF(P110="","",IF(S110&lt;&gt;"",S110-P110,TODAY()-P110)))</x:f>
      </x:c>
    </x:row>
    <x:row r="111" ht="28" customHeight="1">
      <x:c r="A111" s="92"/>
      <x:c r="B111" s="95"/>
      <x:c r="C111" s="92"/>
      <x:c r="D111" s="92"/>
      <x:c r="E111" s="92"/>
      <x:c r="F111" s="92"/>
      <x:c r="G111" s="92"/>
      <x:c r="H111" s="92"/>
      <x:c r="I111" s="101"/>
      <x:c r="J111" s="107"/>
      <x:c r="K111" s="110" t="str">
        <x:f>IF(A111="","",IFERROR(VLOOKUP(C111,'Cấu hình'!$A$12:$D$19,2,FALSE),0))</x:f>
      </x:c>
      <x:c r="L111" s="92"/>
      <x:c r="M111" s="92"/>
      <x:c r="N111" s="95"/>
      <x:c r="O111" s="101"/>
      <x:c r="P111" s="101"/>
      <x:c r="Q111" s="101"/>
      <x:c r="R111" s="104" t="str">
        <x:f>IF(OR(P111="",D111=""),"",P111+IFERROR(VLOOKUP(D111,'Cấu hình'!$E$12:$G$15,3,FALSE),0))</x:f>
      </x:c>
      <x:c r="S111" s="101"/>
      <x:c r="T111" s="107"/>
      <x:c r="U111" s="113" t="str">
        <x:f>IF(A111="","",IF(S111&lt;&gt;"",0,IF(I111&lt;&gt;"",I111-TODAY(),IF(R111&lt;&gt;"",R111-TODAY(),""))))</x:f>
      </x:c>
      <x:c r="V111" s="113" t="str">
        <x:f>IF(A111="","",IF(S111&lt;&gt;"",MAX(0,S111-IF(I111&lt;&gt;"",I111,R111)),IF(OR(I111&lt;&gt;"",R111&lt;&gt;""),MAX(0,TODAY()-IF(I111&lt;&gt;"",I111,R111)),0)))</x:f>
      </x:c>
      <x:c r="W111" s="95"/>
      <x:c r="X111" s="95"/>
      <x:c r="Y111" s="92"/>
      <x:c r="Z111" s="92"/>
      <x:c r="AA111" s="92"/>
      <x:c r="AB111" s="92"/>
      <x:c r="AC111" s="113" t="str">
        <x:f>IF(A111="","",IF(P111="","",IF(S111&lt;&gt;"",S111-P111,TODAY()-P111)))</x:f>
      </x:c>
    </x:row>
    <x:row r="112" ht="28" customHeight="1">
      <x:c r="A112" s="92"/>
      <x:c r="B112" s="95"/>
      <x:c r="C112" s="92"/>
      <x:c r="D112" s="92"/>
      <x:c r="E112" s="92"/>
      <x:c r="F112" s="92"/>
      <x:c r="G112" s="92"/>
      <x:c r="H112" s="92"/>
      <x:c r="I112" s="101"/>
      <x:c r="J112" s="107"/>
      <x:c r="K112" s="110" t="str">
        <x:f>IF(A112="","",IFERROR(VLOOKUP(C112,'Cấu hình'!$A$12:$D$19,2,FALSE),0))</x:f>
      </x:c>
      <x:c r="L112" s="92"/>
      <x:c r="M112" s="92"/>
      <x:c r="N112" s="95"/>
      <x:c r="O112" s="101"/>
      <x:c r="P112" s="101"/>
      <x:c r="Q112" s="101"/>
      <x:c r="R112" s="104" t="str">
        <x:f>IF(OR(P112="",D112=""),"",P112+IFERROR(VLOOKUP(D112,'Cấu hình'!$E$12:$G$15,3,FALSE),0))</x:f>
      </x:c>
      <x:c r="S112" s="101"/>
      <x:c r="T112" s="107"/>
      <x:c r="U112" s="113" t="str">
        <x:f>IF(A112="","",IF(S112&lt;&gt;"",0,IF(I112&lt;&gt;"",I112-TODAY(),IF(R112&lt;&gt;"",R112-TODAY(),""))))</x:f>
      </x:c>
      <x:c r="V112" s="113" t="str">
        <x:f>IF(A112="","",IF(S112&lt;&gt;"",MAX(0,S112-IF(I112&lt;&gt;"",I112,R112)),IF(OR(I112&lt;&gt;"",R112&lt;&gt;""),MAX(0,TODAY()-IF(I112&lt;&gt;"",I112,R112)),0)))</x:f>
      </x:c>
      <x:c r="W112" s="95"/>
      <x:c r="X112" s="95"/>
      <x:c r="Y112" s="92"/>
      <x:c r="Z112" s="92"/>
      <x:c r="AA112" s="92"/>
      <x:c r="AB112" s="92"/>
      <x:c r="AC112" s="113" t="str">
        <x:f>IF(A112="","",IF(P112="","",IF(S112&lt;&gt;"",S112-P112,TODAY()-P112)))</x:f>
      </x:c>
    </x:row>
    <x:row r="113" ht="28" customHeight="1">
      <x:c r="A113" s="92"/>
      <x:c r="B113" s="95"/>
      <x:c r="C113" s="92"/>
      <x:c r="D113" s="92"/>
      <x:c r="E113" s="92"/>
      <x:c r="F113" s="92"/>
      <x:c r="G113" s="92"/>
      <x:c r="H113" s="92"/>
      <x:c r="I113" s="101"/>
      <x:c r="J113" s="107"/>
      <x:c r="K113" s="110" t="str">
        <x:f>IF(A113="","",IFERROR(VLOOKUP(C113,'Cấu hình'!$A$12:$D$19,2,FALSE),0))</x:f>
      </x:c>
      <x:c r="L113" s="92"/>
      <x:c r="M113" s="92"/>
      <x:c r="N113" s="95"/>
      <x:c r="O113" s="101"/>
      <x:c r="P113" s="101"/>
      <x:c r="Q113" s="101"/>
      <x:c r="R113" s="104" t="str">
        <x:f>IF(OR(P113="",D113=""),"",P113+IFERROR(VLOOKUP(D113,'Cấu hình'!$E$12:$G$15,3,FALSE),0))</x:f>
      </x:c>
      <x:c r="S113" s="101"/>
      <x:c r="T113" s="107"/>
      <x:c r="U113" s="113" t="str">
        <x:f>IF(A113="","",IF(S113&lt;&gt;"",0,IF(I113&lt;&gt;"",I113-TODAY(),IF(R113&lt;&gt;"",R113-TODAY(),""))))</x:f>
      </x:c>
      <x:c r="V113" s="113" t="str">
        <x:f>IF(A113="","",IF(S113&lt;&gt;"",MAX(0,S113-IF(I113&lt;&gt;"",I113,R113)),IF(OR(I113&lt;&gt;"",R113&lt;&gt;""),MAX(0,TODAY()-IF(I113&lt;&gt;"",I113,R113)),0)))</x:f>
      </x:c>
      <x:c r="W113" s="95"/>
      <x:c r="X113" s="95"/>
      <x:c r="Y113" s="92"/>
      <x:c r="Z113" s="92"/>
      <x:c r="AA113" s="92"/>
      <x:c r="AB113" s="92"/>
      <x:c r="AC113" s="113" t="str">
        <x:f>IF(A113="","",IF(P113="","",IF(S113&lt;&gt;"",S113-P113,TODAY()-P113)))</x:f>
      </x:c>
    </x:row>
    <x:row r="114" ht="28" customHeight="1">
      <x:c r="A114" s="92"/>
      <x:c r="B114" s="95"/>
      <x:c r="C114" s="92"/>
      <x:c r="D114" s="92"/>
      <x:c r="E114" s="92"/>
      <x:c r="F114" s="92"/>
      <x:c r="G114" s="92"/>
      <x:c r="H114" s="92"/>
      <x:c r="I114" s="101"/>
      <x:c r="J114" s="107"/>
      <x:c r="K114" s="110" t="str">
        <x:f>IF(A114="","",IFERROR(VLOOKUP(C114,'Cấu hình'!$A$12:$D$19,2,FALSE),0))</x:f>
      </x:c>
      <x:c r="L114" s="92"/>
      <x:c r="M114" s="92"/>
      <x:c r="N114" s="95"/>
      <x:c r="O114" s="101"/>
      <x:c r="P114" s="101"/>
      <x:c r="Q114" s="101"/>
      <x:c r="R114" s="104" t="str">
        <x:f>IF(OR(P114="",D114=""),"",P114+IFERROR(VLOOKUP(D114,'Cấu hình'!$E$12:$G$15,3,FALSE),0))</x:f>
      </x:c>
      <x:c r="S114" s="101"/>
      <x:c r="T114" s="107"/>
      <x:c r="U114" s="113" t="str">
        <x:f>IF(A114="","",IF(S114&lt;&gt;"",0,IF(I114&lt;&gt;"",I114-TODAY(),IF(R114&lt;&gt;"",R114-TODAY(),""))))</x:f>
      </x:c>
      <x:c r="V114" s="113" t="str">
        <x:f>IF(A114="","",IF(S114&lt;&gt;"",MAX(0,S114-IF(I114&lt;&gt;"",I114,R114)),IF(OR(I114&lt;&gt;"",R114&lt;&gt;""),MAX(0,TODAY()-IF(I114&lt;&gt;"",I114,R114)),0)))</x:f>
      </x:c>
      <x:c r="W114" s="95"/>
      <x:c r="X114" s="95"/>
      <x:c r="Y114" s="92"/>
      <x:c r="Z114" s="92"/>
      <x:c r="AA114" s="92"/>
      <x:c r="AB114" s="92"/>
      <x:c r="AC114" s="113" t="str">
        <x:f>IF(A114="","",IF(P114="","",IF(S114&lt;&gt;"",S114-P114,TODAY()-P114)))</x:f>
      </x:c>
    </x:row>
    <x:row r="115" ht="28" customHeight="1">
      <x:c r="A115" s="92"/>
      <x:c r="B115" s="95"/>
      <x:c r="C115" s="92"/>
      <x:c r="D115" s="92"/>
      <x:c r="E115" s="92"/>
      <x:c r="F115" s="92"/>
      <x:c r="G115" s="92"/>
      <x:c r="H115" s="92"/>
      <x:c r="I115" s="101"/>
      <x:c r="J115" s="107"/>
      <x:c r="K115" s="110" t="str">
        <x:f>IF(A115="","",IFERROR(VLOOKUP(C115,'Cấu hình'!$A$12:$D$19,2,FALSE),0))</x:f>
      </x:c>
      <x:c r="L115" s="92"/>
      <x:c r="M115" s="92"/>
      <x:c r="N115" s="95"/>
      <x:c r="O115" s="101"/>
      <x:c r="P115" s="101"/>
      <x:c r="Q115" s="101"/>
      <x:c r="R115" s="104" t="str">
        <x:f>IF(OR(P115="",D115=""),"",P115+IFERROR(VLOOKUP(D115,'Cấu hình'!$E$12:$G$15,3,FALSE),0))</x:f>
      </x:c>
      <x:c r="S115" s="101"/>
      <x:c r="T115" s="107"/>
      <x:c r="U115" s="113" t="str">
        <x:f>IF(A115="","",IF(S115&lt;&gt;"",0,IF(I115&lt;&gt;"",I115-TODAY(),IF(R115&lt;&gt;"",R115-TODAY(),""))))</x:f>
      </x:c>
      <x:c r="V115" s="113" t="str">
        <x:f>IF(A115="","",IF(S115&lt;&gt;"",MAX(0,S115-IF(I115&lt;&gt;"",I115,R115)),IF(OR(I115&lt;&gt;"",R115&lt;&gt;""),MAX(0,TODAY()-IF(I115&lt;&gt;"",I115,R115)),0)))</x:f>
      </x:c>
      <x:c r="W115" s="95"/>
      <x:c r="X115" s="95"/>
      <x:c r="Y115" s="92"/>
      <x:c r="Z115" s="92"/>
      <x:c r="AA115" s="92"/>
      <x:c r="AB115" s="92"/>
      <x:c r="AC115" s="113" t="str">
        <x:f>IF(A115="","",IF(P115="","",IF(S115&lt;&gt;"",S115-P115,TODAY()-P115)))</x:f>
      </x:c>
    </x:row>
    <x:row r="116" ht="28" customHeight="1">
      <x:c r="A116" s="92"/>
      <x:c r="B116" s="95"/>
      <x:c r="C116" s="92"/>
      <x:c r="D116" s="92"/>
      <x:c r="E116" s="92"/>
      <x:c r="F116" s="92"/>
      <x:c r="G116" s="92"/>
      <x:c r="H116" s="92"/>
      <x:c r="I116" s="101"/>
      <x:c r="J116" s="107"/>
      <x:c r="K116" s="110" t="str">
        <x:f>IF(A116="","",IFERROR(VLOOKUP(C116,'Cấu hình'!$A$12:$D$19,2,FALSE),0))</x:f>
      </x:c>
      <x:c r="L116" s="92"/>
      <x:c r="M116" s="92"/>
      <x:c r="N116" s="95"/>
      <x:c r="O116" s="101"/>
      <x:c r="P116" s="101"/>
      <x:c r="Q116" s="101"/>
      <x:c r="R116" s="104" t="str">
        <x:f>IF(OR(P116="",D116=""),"",P116+IFERROR(VLOOKUP(D116,'Cấu hình'!$E$12:$G$15,3,FALSE),0))</x:f>
      </x:c>
      <x:c r="S116" s="101"/>
      <x:c r="T116" s="107"/>
      <x:c r="U116" s="113" t="str">
        <x:f>IF(A116="","",IF(S116&lt;&gt;"",0,IF(I116&lt;&gt;"",I116-TODAY(),IF(R116&lt;&gt;"",R116-TODAY(),""))))</x:f>
      </x:c>
      <x:c r="V116" s="113" t="str">
        <x:f>IF(A116="","",IF(S116&lt;&gt;"",MAX(0,S116-IF(I116&lt;&gt;"",I116,R116)),IF(OR(I116&lt;&gt;"",R116&lt;&gt;""),MAX(0,TODAY()-IF(I116&lt;&gt;"",I116,R116)),0)))</x:f>
      </x:c>
      <x:c r="W116" s="95"/>
      <x:c r="X116" s="95"/>
      <x:c r="Y116" s="92"/>
      <x:c r="Z116" s="92"/>
      <x:c r="AA116" s="92"/>
      <x:c r="AB116" s="92"/>
      <x:c r="AC116" s="113" t="str">
        <x:f>IF(A116="","",IF(P116="","",IF(S116&lt;&gt;"",S116-P116,TODAY()-P116)))</x:f>
      </x:c>
    </x:row>
    <x:row r="117" ht="28" customHeight="1">
      <x:c r="A117" s="92"/>
      <x:c r="B117" s="95"/>
      <x:c r="C117" s="92"/>
      <x:c r="D117" s="92"/>
      <x:c r="E117" s="92"/>
      <x:c r="F117" s="92"/>
      <x:c r="G117" s="92"/>
      <x:c r="H117" s="92"/>
      <x:c r="I117" s="101"/>
      <x:c r="J117" s="107"/>
      <x:c r="K117" s="110" t="str">
        <x:f>IF(A117="","",IFERROR(VLOOKUP(C117,'Cấu hình'!$A$12:$D$19,2,FALSE),0))</x:f>
      </x:c>
      <x:c r="L117" s="92"/>
      <x:c r="M117" s="92"/>
      <x:c r="N117" s="95"/>
      <x:c r="O117" s="101"/>
      <x:c r="P117" s="101"/>
      <x:c r="Q117" s="101"/>
      <x:c r="R117" s="104" t="str">
        <x:f>IF(OR(P117="",D117=""),"",P117+IFERROR(VLOOKUP(D117,'Cấu hình'!$E$12:$G$15,3,FALSE),0))</x:f>
      </x:c>
      <x:c r="S117" s="101"/>
      <x:c r="T117" s="107"/>
      <x:c r="U117" s="113" t="str">
        <x:f>IF(A117="","",IF(S117&lt;&gt;"",0,IF(I117&lt;&gt;"",I117-TODAY(),IF(R117&lt;&gt;"",R117-TODAY(),""))))</x:f>
      </x:c>
      <x:c r="V117" s="113" t="str">
        <x:f>IF(A117="","",IF(S117&lt;&gt;"",MAX(0,S117-IF(I117&lt;&gt;"",I117,R117)),IF(OR(I117&lt;&gt;"",R117&lt;&gt;""),MAX(0,TODAY()-IF(I117&lt;&gt;"",I117,R117)),0)))</x:f>
      </x:c>
      <x:c r="W117" s="95"/>
      <x:c r="X117" s="95"/>
      <x:c r="Y117" s="92"/>
      <x:c r="Z117" s="92"/>
      <x:c r="AA117" s="92"/>
      <x:c r="AB117" s="92"/>
      <x:c r="AC117" s="113" t="str">
        <x:f>IF(A117="","",IF(P117="","",IF(S117&lt;&gt;"",S117-P117,TODAY()-P117)))</x:f>
      </x:c>
    </x:row>
    <x:row r="118" ht="28" customHeight="1">
      <x:c r="A118" s="92"/>
      <x:c r="B118" s="95"/>
      <x:c r="C118" s="92"/>
      <x:c r="D118" s="92"/>
      <x:c r="E118" s="92"/>
      <x:c r="F118" s="92"/>
      <x:c r="G118" s="92"/>
      <x:c r="H118" s="92"/>
      <x:c r="I118" s="101"/>
      <x:c r="J118" s="107"/>
      <x:c r="K118" s="110" t="str">
        <x:f>IF(A118="","",IFERROR(VLOOKUP(C118,'Cấu hình'!$A$12:$D$19,2,FALSE),0))</x:f>
      </x:c>
      <x:c r="L118" s="92"/>
      <x:c r="M118" s="92"/>
      <x:c r="N118" s="95"/>
      <x:c r="O118" s="101"/>
      <x:c r="P118" s="101"/>
      <x:c r="Q118" s="101"/>
      <x:c r="R118" s="104" t="str">
        <x:f>IF(OR(P118="",D118=""),"",P118+IFERROR(VLOOKUP(D118,'Cấu hình'!$E$12:$G$15,3,FALSE),0))</x:f>
      </x:c>
      <x:c r="S118" s="101"/>
      <x:c r="T118" s="107"/>
      <x:c r="U118" s="113" t="str">
        <x:f>IF(A118="","",IF(S118&lt;&gt;"",0,IF(I118&lt;&gt;"",I118-TODAY(),IF(R118&lt;&gt;"",R118-TODAY(),""))))</x:f>
      </x:c>
      <x:c r="V118" s="113" t="str">
        <x:f>IF(A118="","",IF(S118&lt;&gt;"",MAX(0,S118-IF(I118&lt;&gt;"",I118,R118)),IF(OR(I118&lt;&gt;"",R118&lt;&gt;""),MAX(0,TODAY()-IF(I118&lt;&gt;"",I118,R118)),0)))</x:f>
      </x:c>
      <x:c r="W118" s="95"/>
      <x:c r="X118" s="95"/>
      <x:c r="Y118" s="92"/>
      <x:c r="Z118" s="92"/>
      <x:c r="AA118" s="92"/>
      <x:c r="AB118" s="92"/>
      <x:c r="AC118" s="113" t="str">
        <x:f>IF(A118="","",IF(P118="","",IF(S118&lt;&gt;"",S118-P118,TODAY()-P118)))</x:f>
      </x:c>
    </x:row>
    <x:row r="119" ht="28" customHeight="1">
      <x:c r="A119" s="92"/>
      <x:c r="B119" s="95"/>
      <x:c r="C119" s="92"/>
      <x:c r="D119" s="92"/>
      <x:c r="E119" s="92"/>
      <x:c r="F119" s="92"/>
      <x:c r="G119" s="92"/>
      <x:c r="H119" s="92"/>
      <x:c r="I119" s="101"/>
      <x:c r="J119" s="107"/>
      <x:c r="K119" s="110" t="str">
        <x:f>IF(A119="","",IFERROR(VLOOKUP(C119,'Cấu hình'!$A$12:$D$19,2,FALSE),0))</x:f>
      </x:c>
      <x:c r="L119" s="92"/>
      <x:c r="M119" s="92"/>
      <x:c r="N119" s="95"/>
      <x:c r="O119" s="101"/>
      <x:c r="P119" s="101"/>
      <x:c r="Q119" s="101"/>
      <x:c r="R119" s="104" t="str">
        <x:f>IF(OR(P119="",D119=""),"",P119+IFERROR(VLOOKUP(D119,'Cấu hình'!$E$12:$G$15,3,FALSE),0))</x:f>
      </x:c>
      <x:c r="S119" s="101"/>
      <x:c r="T119" s="107"/>
      <x:c r="U119" s="113" t="str">
        <x:f>IF(A119="","",IF(S119&lt;&gt;"",0,IF(I119&lt;&gt;"",I119-TODAY(),IF(R119&lt;&gt;"",R119-TODAY(),""))))</x:f>
      </x:c>
      <x:c r="V119" s="113" t="str">
        <x:f>IF(A119="","",IF(S119&lt;&gt;"",MAX(0,S119-IF(I119&lt;&gt;"",I119,R119)),IF(OR(I119&lt;&gt;"",R119&lt;&gt;""),MAX(0,TODAY()-IF(I119&lt;&gt;"",I119,R119)),0)))</x:f>
      </x:c>
      <x:c r="W119" s="95"/>
      <x:c r="X119" s="95"/>
      <x:c r="Y119" s="92"/>
      <x:c r="Z119" s="92"/>
      <x:c r="AA119" s="92"/>
      <x:c r="AB119" s="92"/>
      <x:c r="AC119" s="113" t="str">
        <x:f>IF(A119="","",IF(P119="","",IF(S119&lt;&gt;"",S119-P119,TODAY()-P119)))</x:f>
      </x:c>
    </x:row>
    <x:row r="120" ht="28" customHeight="1">
      <x:c r="A120" s="92"/>
      <x:c r="B120" s="95"/>
      <x:c r="C120" s="92"/>
      <x:c r="D120" s="92"/>
      <x:c r="E120" s="92"/>
      <x:c r="F120" s="92"/>
      <x:c r="G120" s="92"/>
      <x:c r="H120" s="92"/>
      <x:c r="I120" s="101"/>
      <x:c r="J120" s="107"/>
      <x:c r="K120" s="110" t="str">
        <x:f>IF(A120="","",IFERROR(VLOOKUP(C120,'Cấu hình'!$A$12:$D$19,2,FALSE),0))</x:f>
      </x:c>
      <x:c r="L120" s="92"/>
      <x:c r="M120" s="92"/>
      <x:c r="N120" s="95"/>
      <x:c r="O120" s="101"/>
      <x:c r="P120" s="101"/>
      <x:c r="Q120" s="101"/>
      <x:c r="R120" s="104" t="str">
        <x:f>IF(OR(P120="",D120=""),"",P120+IFERROR(VLOOKUP(D120,'Cấu hình'!$E$12:$G$15,3,FALSE),0))</x:f>
      </x:c>
      <x:c r="S120" s="101"/>
      <x:c r="T120" s="107"/>
      <x:c r="U120" s="113" t="str">
        <x:f>IF(A120="","",IF(S120&lt;&gt;"",0,IF(I120&lt;&gt;"",I120-TODAY(),IF(R120&lt;&gt;"",R120-TODAY(),""))))</x:f>
      </x:c>
      <x:c r="V120" s="113" t="str">
        <x:f>IF(A120="","",IF(S120&lt;&gt;"",MAX(0,S120-IF(I120&lt;&gt;"",I120,R120)),IF(OR(I120&lt;&gt;"",R120&lt;&gt;""),MAX(0,TODAY()-IF(I120&lt;&gt;"",I120,R120)),0)))</x:f>
      </x:c>
      <x:c r="W120" s="95"/>
      <x:c r="X120" s="95"/>
      <x:c r="Y120" s="92"/>
      <x:c r="Z120" s="92"/>
      <x:c r="AA120" s="92"/>
      <x:c r="AB120" s="92"/>
      <x:c r="AC120" s="113" t="str">
        <x:f>IF(A120="","",IF(P120="","",IF(S120&lt;&gt;"",S120-P120,TODAY()-P120)))</x:f>
      </x:c>
    </x:row>
    <x:row r="121" ht="28" customHeight="1">
      <x:c r="A121" s="92"/>
      <x:c r="B121" s="95"/>
      <x:c r="C121" s="92"/>
      <x:c r="D121" s="92"/>
      <x:c r="E121" s="92"/>
      <x:c r="F121" s="92"/>
      <x:c r="G121" s="92"/>
      <x:c r="H121" s="92"/>
      <x:c r="I121" s="101"/>
      <x:c r="J121" s="107"/>
      <x:c r="K121" s="110" t="str">
        <x:f>IF(A121="","",IFERROR(VLOOKUP(C121,'Cấu hình'!$A$12:$D$19,2,FALSE),0))</x:f>
      </x:c>
      <x:c r="L121" s="92"/>
      <x:c r="M121" s="92"/>
      <x:c r="N121" s="95"/>
      <x:c r="O121" s="101"/>
      <x:c r="P121" s="101"/>
      <x:c r="Q121" s="101"/>
      <x:c r="R121" s="104" t="str">
        <x:f>IF(OR(P121="",D121=""),"",P121+IFERROR(VLOOKUP(D121,'Cấu hình'!$E$12:$G$15,3,FALSE),0))</x:f>
      </x:c>
      <x:c r="S121" s="101"/>
      <x:c r="T121" s="107"/>
      <x:c r="U121" s="113" t="str">
        <x:f>IF(A121="","",IF(S121&lt;&gt;"",0,IF(I121&lt;&gt;"",I121-TODAY(),IF(R121&lt;&gt;"",R121-TODAY(),""))))</x:f>
      </x:c>
      <x:c r="V121" s="113" t="str">
        <x:f>IF(A121="","",IF(S121&lt;&gt;"",MAX(0,S121-IF(I121&lt;&gt;"",I121,R121)),IF(OR(I121&lt;&gt;"",R121&lt;&gt;""),MAX(0,TODAY()-IF(I121&lt;&gt;"",I121,R121)),0)))</x:f>
      </x:c>
      <x:c r="W121" s="95"/>
      <x:c r="X121" s="95"/>
      <x:c r="Y121" s="92"/>
      <x:c r="Z121" s="92"/>
      <x:c r="AA121" s="92"/>
      <x:c r="AB121" s="92"/>
      <x:c r="AC121" s="113" t="str">
        <x:f>IF(A121="","",IF(P121="","",IF(S121&lt;&gt;"",S121-P121,TODAY()-P121)))</x:f>
      </x:c>
    </x:row>
    <x:row r="122" ht="28" customHeight="1">
      <x:c r="A122" s="92"/>
      <x:c r="B122" s="95"/>
      <x:c r="C122" s="92"/>
      <x:c r="D122" s="92"/>
      <x:c r="E122" s="92"/>
      <x:c r="F122" s="92"/>
      <x:c r="G122" s="92"/>
      <x:c r="H122" s="92"/>
      <x:c r="I122" s="101"/>
      <x:c r="J122" s="107"/>
      <x:c r="K122" s="110" t="str">
        <x:f>IF(A122="","",IFERROR(VLOOKUP(C122,'Cấu hình'!$A$12:$D$19,2,FALSE),0))</x:f>
      </x:c>
      <x:c r="L122" s="92"/>
      <x:c r="M122" s="92"/>
      <x:c r="N122" s="95"/>
      <x:c r="O122" s="101"/>
      <x:c r="P122" s="101"/>
      <x:c r="Q122" s="101"/>
      <x:c r="R122" s="104" t="str">
        <x:f>IF(OR(P122="",D122=""),"",P122+IFERROR(VLOOKUP(D122,'Cấu hình'!$E$12:$G$15,3,FALSE),0))</x:f>
      </x:c>
      <x:c r="S122" s="101"/>
      <x:c r="T122" s="107"/>
      <x:c r="U122" s="113" t="str">
        <x:f>IF(A122="","",IF(S122&lt;&gt;"",0,IF(I122&lt;&gt;"",I122-TODAY(),IF(R122&lt;&gt;"",R122-TODAY(),""))))</x:f>
      </x:c>
      <x:c r="V122" s="113" t="str">
        <x:f>IF(A122="","",IF(S122&lt;&gt;"",MAX(0,S122-IF(I122&lt;&gt;"",I122,R122)),IF(OR(I122&lt;&gt;"",R122&lt;&gt;""),MAX(0,TODAY()-IF(I122&lt;&gt;"",I122,R122)),0)))</x:f>
      </x:c>
      <x:c r="W122" s="95"/>
      <x:c r="X122" s="95"/>
      <x:c r="Y122" s="92"/>
      <x:c r="Z122" s="92"/>
      <x:c r="AA122" s="92"/>
      <x:c r="AB122" s="92"/>
      <x:c r="AC122" s="113" t="str">
        <x:f>IF(A122="","",IF(P122="","",IF(S122&lt;&gt;"",S122-P122,TODAY()-P122)))</x:f>
      </x:c>
    </x:row>
    <x:row r="123" ht="28" customHeight="1">
      <x:c r="A123" s="92"/>
      <x:c r="B123" s="95"/>
      <x:c r="C123" s="92"/>
      <x:c r="D123" s="92"/>
      <x:c r="E123" s="92"/>
      <x:c r="F123" s="92"/>
      <x:c r="G123" s="92"/>
      <x:c r="H123" s="92"/>
      <x:c r="I123" s="101"/>
      <x:c r="J123" s="107"/>
      <x:c r="K123" s="110" t="str">
        <x:f>IF(A123="","",IFERROR(VLOOKUP(C123,'Cấu hình'!$A$12:$D$19,2,FALSE),0))</x:f>
      </x:c>
      <x:c r="L123" s="92"/>
      <x:c r="M123" s="92"/>
      <x:c r="N123" s="95"/>
      <x:c r="O123" s="101"/>
      <x:c r="P123" s="101"/>
      <x:c r="Q123" s="101"/>
      <x:c r="R123" s="104" t="str">
        <x:f>IF(OR(P123="",D123=""),"",P123+IFERROR(VLOOKUP(D123,'Cấu hình'!$E$12:$G$15,3,FALSE),0))</x:f>
      </x:c>
      <x:c r="S123" s="101"/>
      <x:c r="T123" s="107"/>
      <x:c r="U123" s="113" t="str">
        <x:f>IF(A123="","",IF(S123&lt;&gt;"",0,IF(I123&lt;&gt;"",I123-TODAY(),IF(R123&lt;&gt;"",R123-TODAY(),""))))</x:f>
      </x:c>
      <x:c r="V123" s="113" t="str">
        <x:f>IF(A123="","",IF(S123&lt;&gt;"",MAX(0,S123-IF(I123&lt;&gt;"",I123,R123)),IF(OR(I123&lt;&gt;"",R123&lt;&gt;""),MAX(0,TODAY()-IF(I123&lt;&gt;"",I123,R123)),0)))</x:f>
      </x:c>
      <x:c r="W123" s="95"/>
      <x:c r="X123" s="95"/>
      <x:c r="Y123" s="92"/>
      <x:c r="Z123" s="92"/>
      <x:c r="AA123" s="92"/>
      <x:c r="AB123" s="92"/>
      <x:c r="AC123" s="113" t="str">
        <x:f>IF(A123="","",IF(P123="","",IF(S123&lt;&gt;"",S123-P123,TODAY()-P123)))</x:f>
      </x:c>
    </x:row>
    <x:row r="124" ht="28" customHeight="1">
      <x:c r="A124" s="92"/>
      <x:c r="B124" s="95"/>
      <x:c r="C124" s="92"/>
      <x:c r="D124" s="92"/>
      <x:c r="E124" s="92"/>
      <x:c r="F124" s="92"/>
      <x:c r="G124" s="92"/>
      <x:c r="H124" s="92"/>
      <x:c r="I124" s="101"/>
      <x:c r="J124" s="107"/>
      <x:c r="K124" s="110" t="str">
        <x:f>IF(A124="","",IFERROR(VLOOKUP(C124,'Cấu hình'!$A$12:$D$19,2,FALSE),0))</x:f>
      </x:c>
      <x:c r="L124" s="92"/>
      <x:c r="M124" s="92"/>
      <x:c r="N124" s="95"/>
      <x:c r="O124" s="101"/>
      <x:c r="P124" s="101"/>
      <x:c r="Q124" s="101"/>
      <x:c r="R124" s="104" t="str">
        <x:f>IF(OR(P124="",D124=""),"",P124+IFERROR(VLOOKUP(D124,'Cấu hình'!$E$12:$G$15,3,FALSE),0))</x:f>
      </x:c>
      <x:c r="S124" s="101"/>
      <x:c r="T124" s="107"/>
      <x:c r="U124" s="113" t="str">
        <x:f>IF(A124="","",IF(S124&lt;&gt;"",0,IF(I124&lt;&gt;"",I124-TODAY(),IF(R124&lt;&gt;"",R124-TODAY(),""))))</x:f>
      </x:c>
      <x:c r="V124" s="113" t="str">
        <x:f>IF(A124="","",IF(S124&lt;&gt;"",MAX(0,S124-IF(I124&lt;&gt;"",I124,R124)),IF(OR(I124&lt;&gt;"",R124&lt;&gt;""),MAX(0,TODAY()-IF(I124&lt;&gt;"",I124,R124)),0)))</x:f>
      </x:c>
      <x:c r="W124" s="95"/>
      <x:c r="X124" s="95"/>
      <x:c r="Y124" s="92"/>
      <x:c r="Z124" s="92"/>
      <x:c r="AA124" s="92"/>
      <x:c r="AB124" s="92"/>
      <x:c r="AC124" s="113" t="str">
        <x:f>IF(A124="","",IF(P124="","",IF(S124&lt;&gt;"",S124-P124,TODAY()-P124)))</x:f>
      </x:c>
    </x:row>
    <x:row r="125" ht="28" customHeight="1">
      <x:c r="A125" s="92"/>
      <x:c r="B125" s="95"/>
      <x:c r="C125" s="92"/>
      <x:c r="D125" s="92"/>
      <x:c r="E125" s="92"/>
      <x:c r="F125" s="92"/>
      <x:c r="G125" s="92"/>
      <x:c r="H125" s="92"/>
      <x:c r="I125" s="101"/>
      <x:c r="J125" s="107"/>
      <x:c r="K125" s="110" t="str">
        <x:f>IF(A125="","",IFERROR(VLOOKUP(C125,'Cấu hình'!$A$12:$D$19,2,FALSE),0))</x:f>
      </x:c>
      <x:c r="L125" s="92"/>
      <x:c r="M125" s="92"/>
      <x:c r="N125" s="95"/>
      <x:c r="O125" s="101"/>
      <x:c r="P125" s="101"/>
      <x:c r="Q125" s="101"/>
      <x:c r="R125" s="104" t="str">
        <x:f>IF(OR(P125="",D125=""),"",P125+IFERROR(VLOOKUP(D125,'Cấu hình'!$E$12:$G$15,3,FALSE),0))</x:f>
      </x:c>
      <x:c r="S125" s="101"/>
      <x:c r="T125" s="107"/>
      <x:c r="U125" s="113" t="str">
        <x:f>IF(A125="","",IF(S125&lt;&gt;"",0,IF(I125&lt;&gt;"",I125-TODAY(),IF(R125&lt;&gt;"",R125-TODAY(),""))))</x:f>
      </x:c>
      <x:c r="V125" s="113" t="str">
        <x:f>IF(A125="","",IF(S125&lt;&gt;"",MAX(0,S125-IF(I125&lt;&gt;"",I125,R125)),IF(OR(I125&lt;&gt;"",R125&lt;&gt;""),MAX(0,TODAY()-IF(I125&lt;&gt;"",I125,R125)),0)))</x:f>
      </x:c>
      <x:c r="W125" s="95"/>
      <x:c r="X125" s="95"/>
      <x:c r="Y125" s="92"/>
      <x:c r="Z125" s="92"/>
      <x:c r="AA125" s="92"/>
      <x:c r="AB125" s="92"/>
      <x:c r="AC125" s="113" t="str">
        <x:f>IF(A125="","",IF(P125="","",IF(S125&lt;&gt;"",S125-P125,TODAY()-P125)))</x:f>
      </x:c>
    </x:row>
    <x:row r="126" ht="28" customHeight="1">
      <x:c r="A126" s="92"/>
      <x:c r="B126" s="95"/>
      <x:c r="C126" s="92"/>
      <x:c r="D126" s="92"/>
      <x:c r="E126" s="92"/>
      <x:c r="F126" s="92"/>
      <x:c r="G126" s="92"/>
      <x:c r="H126" s="92"/>
      <x:c r="I126" s="101"/>
      <x:c r="J126" s="107"/>
      <x:c r="K126" s="110" t="str">
        <x:f>IF(A126="","",IFERROR(VLOOKUP(C126,'Cấu hình'!$A$12:$D$19,2,FALSE),0))</x:f>
      </x:c>
      <x:c r="L126" s="92"/>
      <x:c r="M126" s="92"/>
      <x:c r="N126" s="95"/>
      <x:c r="O126" s="101"/>
      <x:c r="P126" s="101"/>
      <x:c r="Q126" s="101"/>
      <x:c r="R126" s="104" t="str">
        <x:f>IF(OR(P126="",D126=""),"",P126+IFERROR(VLOOKUP(D126,'Cấu hình'!$E$12:$G$15,3,FALSE),0))</x:f>
      </x:c>
      <x:c r="S126" s="101"/>
      <x:c r="T126" s="107"/>
      <x:c r="U126" s="113" t="str">
        <x:f>IF(A126="","",IF(S126&lt;&gt;"",0,IF(I126&lt;&gt;"",I126-TODAY(),IF(R126&lt;&gt;"",R126-TODAY(),""))))</x:f>
      </x:c>
      <x:c r="V126" s="113" t="str">
        <x:f>IF(A126="","",IF(S126&lt;&gt;"",MAX(0,S126-IF(I126&lt;&gt;"",I126,R126)),IF(OR(I126&lt;&gt;"",R126&lt;&gt;""),MAX(0,TODAY()-IF(I126&lt;&gt;"",I126,R126)),0)))</x:f>
      </x:c>
      <x:c r="W126" s="95"/>
      <x:c r="X126" s="95"/>
      <x:c r="Y126" s="92"/>
      <x:c r="Z126" s="92"/>
      <x:c r="AA126" s="92"/>
      <x:c r="AB126" s="92"/>
      <x:c r="AC126" s="113" t="str">
        <x:f>IF(A126="","",IF(P126="","",IF(S126&lt;&gt;"",S126-P126,TODAY()-P126)))</x:f>
      </x:c>
    </x:row>
    <x:row r="127" ht="28" customHeight="1">
      <x:c r="A127" s="92"/>
      <x:c r="B127" s="95"/>
      <x:c r="C127" s="92"/>
      <x:c r="D127" s="92"/>
      <x:c r="E127" s="92"/>
      <x:c r="F127" s="92"/>
      <x:c r="G127" s="92"/>
      <x:c r="H127" s="92"/>
      <x:c r="I127" s="101"/>
      <x:c r="J127" s="107"/>
      <x:c r="K127" s="110" t="str">
        <x:f>IF(A127="","",IFERROR(VLOOKUP(C127,'Cấu hình'!$A$12:$D$19,2,FALSE),0))</x:f>
      </x:c>
      <x:c r="L127" s="92"/>
      <x:c r="M127" s="92"/>
      <x:c r="N127" s="95"/>
      <x:c r="O127" s="101"/>
      <x:c r="P127" s="101"/>
      <x:c r="Q127" s="101"/>
      <x:c r="R127" s="104" t="str">
        <x:f>IF(OR(P127="",D127=""),"",P127+IFERROR(VLOOKUP(D127,'Cấu hình'!$E$12:$G$15,3,FALSE),0))</x:f>
      </x:c>
      <x:c r="S127" s="101"/>
      <x:c r="T127" s="107"/>
      <x:c r="U127" s="113" t="str">
        <x:f>IF(A127="","",IF(S127&lt;&gt;"",0,IF(I127&lt;&gt;"",I127-TODAY(),IF(R127&lt;&gt;"",R127-TODAY(),""))))</x:f>
      </x:c>
      <x:c r="V127" s="113" t="str">
        <x:f>IF(A127="","",IF(S127&lt;&gt;"",MAX(0,S127-IF(I127&lt;&gt;"",I127,R127)),IF(OR(I127&lt;&gt;"",R127&lt;&gt;""),MAX(0,TODAY()-IF(I127&lt;&gt;"",I127,R127)),0)))</x:f>
      </x:c>
      <x:c r="W127" s="95"/>
      <x:c r="X127" s="95"/>
      <x:c r="Y127" s="92"/>
      <x:c r="Z127" s="92"/>
      <x:c r="AA127" s="92"/>
      <x:c r="AB127" s="92"/>
      <x:c r="AC127" s="113" t="str">
        <x:f>IF(A127="","",IF(P127="","",IF(S127&lt;&gt;"",S127-P127,TODAY()-P127)))</x:f>
      </x:c>
    </x:row>
    <x:row r="128" ht="28" customHeight="1">
      <x:c r="A128" s="92"/>
      <x:c r="B128" s="95"/>
      <x:c r="C128" s="92"/>
      <x:c r="D128" s="92"/>
      <x:c r="E128" s="92"/>
      <x:c r="F128" s="92"/>
      <x:c r="G128" s="92"/>
      <x:c r="H128" s="92"/>
      <x:c r="I128" s="101"/>
      <x:c r="J128" s="107"/>
      <x:c r="K128" s="110" t="str">
        <x:f>IF(A128="","",IFERROR(VLOOKUP(C128,'Cấu hình'!$A$12:$D$19,2,FALSE),0))</x:f>
      </x:c>
      <x:c r="L128" s="92"/>
      <x:c r="M128" s="92"/>
      <x:c r="N128" s="95"/>
      <x:c r="O128" s="101"/>
      <x:c r="P128" s="101"/>
      <x:c r="Q128" s="101"/>
      <x:c r="R128" s="104" t="str">
        <x:f>IF(OR(P128="",D128=""),"",P128+IFERROR(VLOOKUP(D128,'Cấu hình'!$E$12:$G$15,3,FALSE),0))</x:f>
      </x:c>
      <x:c r="S128" s="101"/>
      <x:c r="T128" s="107"/>
      <x:c r="U128" s="113" t="str">
        <x:f>IF(A128="","",IF(S128&lt;&gt;"",0,IF(I128&lt;&gt;"",I128-TODAY(),IF(R128&lt;&gt;"",R128-TODAY(),""))))</x:f>
      </x:c>
      <x:c r="V128" s="113" t="str">
        <x:f>IF(A128="","",IF(S128&lt;&gt;"",MAX(0,S128-IF(I128&lt;&gt;"",I128,R128)),IF(OR(I128&lt;&gt;"",R128&lt;&gt;""),MAX(0,TODAY()-IF(I128&lt;&gt;"",I128,R128)),0)))</x:f>
      </x:c>
      <x:c r="W128" s="95"/>
      <x:c r="X128" s="95"/>
      <x:c r="Y128" s="92"/>
      <x:c r="Z128" s="92"/>
      <x:c r="AA128" s="92"/>
      <x:c r="AB128" s="92"/>
      <x:c r="AC128" s="113" t="str">
        <x:f>IF(A128="","",IF(P128="","",IF(S128&lt;&gt;"",S128-P128,TODAY()-P128)))</x:f>
      </x:c>
    </x:row>
    <x:row r="129" ht="28" customHeight="1">
      <x:c r="A129" s="92"/>
      <x:c r="B129" s="95"/>
      <x:c r="C129" s="92"/>
      <x:c r="D129" s="92"/>
      <x:c r="E129" s="92"/>
      <x:c r="F129" s="92"/>
      <x:c r="G129" s="92"/>
      <x:c r="H129" s="92"/>
      <x:c r="I129" s="101"/>
      <x:c r="J129" s="107"/>
      <x:c r="K129" s="110" t="str">
        <x:f>IF(A129="","",IFERROR(VLOOKUP(C129,'Cấu hình'!$A$12:$D$19,2,FALSE),0))</x:f>
      </x:c>
      <x:c r="L129" s="92"/>
      <x:c r="M129" s="92"/>
      <x:c r="N129" s="95"/>
      <x:c r="O129" s="101"/>
      <x:c r="P129" s="101"/>
      <x:c r="Q129" s="101"/>
      <x:c r="R129" s="104" t="str">
        <x:f>IF(OR(P129="",D129=""),"",P129+IFERROR(VLOOKUP(D129,'Cấu hình'!$E$12:$G$15,3,FALSE),0))</x:f>
      </x:c>
      <x:c r="S129" s="101"/>
      <x:c r="T129" s="107"/>
      <x:c r="U129" s="113" t="str">
        <x:f>IF(A129="","",IF(S129&lt;&gt;"",0,IF(I129&lt;&gt;"",I129-TODAY(),IF(R129&lt;&gt;"",R129-TODAY(),""))))</x:f>
      </x:c>
      <x:c r="V129" s="113" t="str">
        <x:f>IF(A129="","",IF(S129&lt;&gt;"",MAX(0,S129-IF(I129&lt;&gt;"",I129,R129)),IF(OR(I129&lt;&gt;"",R129&lt;&gt;""),MAX(0,TODAY()-IF(I129&lt;&gt;"",I129,R129)),0)))</x:f>
      </x:c>
      <x:c r="W129" s="95"/>
      <x:c r="X129" s="95"/>
      <x:c r="Y129" s="92"/>
      <x:c r="Z129" s="92"/>
      <x:c r="AA129" s="92"/>
      <x:c r="AB129" s="92"/>
      <x:c r="AC129" s="113" t="str">
        <x:f>IF(A129="","",IF(P129="","",IF(S129&lt;&gt;"",S129-P129,TODAY()-P129)))</x:f>
      </x:c>
    </x:row>
    <x:row r="130" ht="28" customHeight="1">
      <x:c r="A130" s="92"/>
      <x:c r="B130" s="95"/>
      <x:c r="C130" s="92"/>
      <x:c r="D130" s="92"/>
      <x:c r="E130" s="92"/>
      <x:c r="F130" s="92"/>
      <x:c r="G130" s="92"/>
      <x:c r="H130" s="92"/>
      <x:c r="I130" s="101"/>
      <x:c r="J130" s="107"/>
      <x:c r="K130" s="110" t="str">
        <x:f>IF(A130="","",IFERROR(VLOOKUP(C130,'Cấu hình'!$A$12:$D$19,2,FALSE),0))</x:f>
      </x:c>
      <x:c r="L130" s="92"/>
      <x:c r="M130" s="92"/>
      <x:c r="N130" s="95"/>
      <x:c r="O130" s="101"/>
      <x:c r="P130" s="101"/>
      <x:c r="Q130" s="101"/>
      <x:c r="R130" s="104" t="str">
        <x:f>IF(OR(P130="",D130=""),"",P130+IFERROR(VLOOKUP(D130,'Cấu hình'!$E$12:$G$15,3,FALSE),0))</x:f>
      </x:c>
      <x:c r="S130" s="101"/>
      <x:c r="T130" s="107"/>
      <x:c r="U130" s="113" t="str">
        <x:f>IF(A130="","",IF(S130&lt;&gt;"",0,IF(I130&lt;&gt;"",I130-TODAY(),IF(R130&lt;&gt;"",R130-TODAY(),""))))</x:f>
      </x:c>
      <x:c r="V130" s="113" t="str">
        <x:f>IF(A130="","",IF(S130&lt;&gt;"",MAX(0,S130-IF(I130&lt;&gt;"",I130,R130)),IF(OR(I130&lt;&gt;"",R130&lt;&gt;""),MAX(0,TODAY()-IF(I130&lt;&gt;"",I130,R130)),0)))</x:f>
      </x:c>
      <x:c r="W130" s="95"/>
      <x:c r="X130" s="95"/>
      <x:c r="Y130" s="92"/>
      <x:c r="Z130" s="92"/>
      <x:c r="AA130" s="92"/>
      <x:c r="AB130" s="92"/>
      <x:c r="AC130" s="113" t="str">
        <x:f>IF(A130="","",IF(P130="","",IF(S130&lt;&gt;"",S130-P130,TODAY()-P130)))</x:f>
      </x:c>
    </x:row>
    <x:row r="131" ht="28" customHeight="1">
      <x:c r="A131" s="92"/>
      <x:c r="B131" s="95"/>
      <x:c r="C131" s="92"/>
      <x:c r="D131" s="92"/>
      <x:c r="E131" s="92"/>
      <x:c r="F131" s="92"/>
      <x:c r="G131" s="92"/>
      <x:c r="H131" s="92"/>
      <x:c r="I131" s="101"/>
      <x:c r="J131" s="107"/>
      <x:c r="K131" s="110" t="str">
        <x:f>IF(A131="","",IFERROR(VLOOKUP(C131,'Cấu hình'!$A$12:$D$19,2,FALSE),0))</x:f>
      </x:c>
      <x:c r="L131" s="92"/>
      <x:c r="M131" s="92"/>
      <x:c r="N131" s="95"/>
      <x:c r="O131" s="101"/>
      <x:c r="P131" s="101"/>
      <x:c r="Q131" s="101"/>
      <x:c r="R131" s="104" t="str">
        <x:f>IF(OR(P131="",D131=""),"",P131+IFERROR(VLOOKUP(D131,'Cấu hình'!$E$12:$G$15,3,FALSE),0))</x:f>
      </x:c>
      <x:c r="S131" s="101"/>
      <x:c r="T131" s="107"/>
      <x:c r="U131" s="113" t="str">
        <x:f>IF(A131="","",IF(S131&lt;&gt;"",0,IF(I131&lt;&gt;"",I131-TODAY(),IF(R131&lt;&gt;"",R131-TODAY(),""))))</x:f>
      </x:c>
      <x:c r="V131" s="113" t="str">
        <x:f>IF(A131="","",IF(S131&lt;&gt;"",MAX(0,S131-IF(I131&lt;&gt;"",I131,R131)),IF(OR(I131&lt;&gt;"",R131&lt;&gt;""),MAX(0,TODAY()-IF(I131&lt;&gt;"",I131,R131)),0)))</x:f>
      </x:c>
      <x:c r="W131" s="95"/>
      <x:c r="X131" s="95"/>
      <x:c r="Y131" s="92"/>
      <x:c r="Z131" s="92"/>
      <x:c r="AA131" s="92"/>
      <x:c r="AB131" s="92"/>
      <x:c r="AC131" s="113" t="str">
        <x:f>IF(A131="","",IF(P131="","",IF(S131&lt;&gt;"",S131-P131,TODAY()-P131)))</x:f>
      </x:c>
    </x:row>
    <x:row r="132" ht="28" customHeight="1">
      <x:c r="A132" s="92"/>
      <x:c r="B132" s="95"/>
      <x:c r="C132" s="92"/>
      <x:c r="D132" s="92"/>
      <x:c r="E132" s="92"/>
      <x:c r="F132" s="92"/>
      <x:c r="G132" s="92"/>
      <x:c r="H132" s="92"/>
      <x:c r="I132" s="101"/>
      <x:c r="J132" s="107"/>
      <x:c r="K132" s="110" t="str">
        <x:f>IF(A132="","",IFERROR(VLOOKUP(C132,'Cấu hình'!$A$12:$D$19,2,FALSE),0))</x:f>
      </x:c>
      <x:c r="L132" s="92"/>
      <x:c r="M132" s="92"/>
      <x:c r="N132" s="95"/>
      <x:c r="O132" s="101"/>
      <x:c r="P132" s="101"/>
      <x:c r="Q132" s="101"/>
      <x:c r="R132" s="104" t="str">
        <x:f>IF(OR(P132="",D132=""),"",P132+IFERROR(VLOOKUP(D132,'Cấu hình'!$E$12:$G$15,3,FALSE),0))</x:f>
      </x:c>
      <x:c r="S132" s="101"/>
      <x:c r="T132" s="107"/>
      <x:c r="U132" s="113" t="str">
        <x:f>IF(A132="","",IF(S132&lt;&gt;"",0,IF(I132&lt;&gt;"",I132-TODAY(),IF(R132&lt;&gt;"",R132-TODAY(),""))))</x:f>
      </x:c>
      <x:c r="V132" s="113" t="str">
        <x:f>IF(A132="","",IF(S132&lt;&gt;"",MAX(0,S132-IF(I132&lt;&gt;"",I132,R132)),IF(OR(I132&lt;&gt;"",R132&lt;&gt;""),MAX(0,TODAY()-IF(I132&lt;&gt;"",I132,R132)),0)))</x:f>
      </x:c>
      <x:c r="W132" s="95"/>
      <x:c r="X132" s="95"/>
      <x:c r="Y132" s="92"/>
      <x:c r="Z132" s="92"/>
      <x:c r="AA132" s="92"/>
      <x:c r="AB132" s="92"/>
      <x:c r="AC132" s="113" t="str">
        <x:f>IF(A132="","",IF(P132="","",IF(S132&lt;&gt;"",S132-P132,TODAY()-P132)))</x:f>
      </x:c>
    </x:row>
    <x:row r="133" ht="28" customHeight="1">
      <x:c r="A133" s="92"/>
      <x:c r="B133" s="95"/>
      <x:c r="C133" s="92"/>
      <x:c r="D133" s="92"/>
      <x:c r="E133" s="92"/>
      <x:c r="F133" s="92"/>
      <x:c r="G133" s="92"/>
      <x:c r="H133" s="92"/>
      <x:c r="I133" s="101"/>
      <x:c r="J133" s="107"/>
      <x:c r="K133" s="110" t="str">
        <x:f>IF(A133="","",IFERROR(VLOOKUP(C133,'Cấu hình'!$A$12:$D$19,2,FALSE),0))</x:f>
      </x:c>
      <x:c r="L133" s="92"/>
      <x:c r="M133" s="92"/>
      <x:c r="N133" s="95"/>
      <x:c r="O133" s="101"/>
      <x:c r="P133" s="101"/>
      <x:c r="Q133" s="101"/>
      <x:c r="R133" s="104" t="str">
        <x:f>IF(OR(P133="",D133=""),"",P133+IFERROR(VLOOKUP(D133,'Cấu hình'!$E$12:$G$15,3,FALSE),0))</x:f>
      </x:c>
      <x:c r="S133" s="101"/>
      <x:c r="T133" s="107"/>
      <x:c r="U133" s="113" t="str">
        <x:f>IF(A133="","",IF(S133&lt;&gt;"",0,IF(I133&lt;&gt;"",I133-TODAY(),IF(R133&lt;&gt;"",R133-TODAY(),""))))</x:f>
      </x:c>
      <x:c r="V133" s="113" t="str">
        <x:f>IF(A133="","",IF(S133&lt;&gt;"",MAX(0,S133-IF(I133&lt;&gt;"",I133,R133)),IF(OR(I133&lt;&gt;"",R133&lt;&gt;""),MAX(0,TODAY()-IF(I133&lt;&gt;"",I133,R133)),0)))</x:f>
      </x:c>
      <x:c r="W133" s="95"/>
      <x:c r="X133" s="95"/>
      <x:c r="Y133" s="92"/>
      <x:c r="Z133" s="92"/>
      <x:c r="AA133" s="92"/>
      <x:c r="AB133" s="92"/>
      <x:c r="AC133" s="113" t="str">
        <x:f>IF(A133="","",IF(P133="","",IF(S133&lt;&gt;"",S133-P133,TODAY()-P133)))</x:f>
      </x:c>
    </x:row>
    <x:row r="134" ht="28" customHeight="1">
      <x:c r="A134" s="92"/>
      <x:c r="B134" s="95"/>
      <x:c r="C134" s="92"/>
      <x:c r="D134" s="92"/>
      <x:c r="E134" s="92"/>
      <x:c r="F134" s="92"/>
      <x:c r="G134" s="92"/>
      <x:c r="H134" s="92"/>
      <x:c r="I134" s="101"/>
      <x:c r="J134" s="107"/>
      <x:c r="K134" s="110" t="str">
        <x:f>IF(A134="","",IFERROR(VLOOKUP(C134,'Cấu hình'!$A$12:$D$19,2,FALSE),0))</x:f>
      </x:c>
      <x:c r="L134" s="92"/>
      <x:c r="M134" s="92"/>
      <x:c r="N134" s="95"/>
      <x:c r="O134" s="101"/>
      <x:c r="P134" s="101"/>
      <x:c r="Q134" s="101"/>
      <x:c r="R134" s="104" t="str">
        <x:f>IF(OR(P134="",D134=""),"",P134+IFERROR(VLOOKUP(D134,'Cấu hình'!$E$12:$G$15,3,FALSE),0))</x:f>
      </x:c>
      <x:c r="S134" s="101"/>
      <x:c r="T134" s="107"/>
      <x:c r="U134" s="113" t="str">
        <x:f>IF(A134="","",IF(S134&lt;&gt;"",0,IF(I134&lt;&gt;"",I134-TODAY(),IF(R134&lt;&gt;"",R134-TODAY(),""))))</x:f>
      </x:c>
      <x:c r="V134" s="113" t="str">
        <x:f>IF(A134="","",IF(S134&lt;&gt;"",MAX(0,S134-IF(I134&lt;&gt;"",I134,R134)),IF(OR(I134&lt;&gt;"",R134&lt;&gt;""),MAX(0,TODAY()-IF(I134&lt;&gt;"",I134,R134)),0)))</x:f>
      </x:c>
      <x:c r="W134" s="95"/>
      <x:c r="X134" s="95"/>
      <x:c r="Y134" s="92"/>
      <x:c r="Z134" s="92"/>
      <x:c r="AA134" s="92"/>
      <x:c r="AB134" s="92"/>
      <x:c r="AC134" s="113" t="str">
        <x:f>IF(A134="","",IF(P134="","",IF(S134&lt;&gt;"",S134-P134,TODAY()-P134)))</x:f>
      </x:c>
    </x:row>
    <x:row r="135" ht="28" customHeight="1">
      <x:c r="A135" s="92"/>
      <x:c r="B135" s="95"/>
      <x:c r="C135" s="92"/>
      <x:c r="D135" s="92"/>
      <x:c r="E135" s="92"/>
      <x:c r="F135" s="92"/>
      <x:c r="G135" s="92"/>
      <x:c r="H135" s="92"/>
      <x:c r="I135" s="101"/>
      <x:c r="J135" s="107"/>
      <x:c r="K135" s="110" t="str">
        <x:f>IF(A135="","",IFERROR(VLOOKUP(C135,'Cấu hình'!$A$12:$D$19,2,FALSE),0))</x:f>
      </x:c>
      <x:c r="L135" s="92"/>
      <x:c r="M135" s="92"/>
      <x:c r="N135" s="95"/>
      <x:c r="O135" s="101"/>
      <x:c r="P135" s="101"/>
      <x:c r="Q135" s="101"/>
      <x:c r="R135" s="104" t="str">
        <x:f>IF(OR(P135="",D135=""),"",P135+IFERROR(VLOOKUP(D135,'Cấu hình'!$E$12:$G$15,3,FALSE),0))</x:f>
      </x:c>
      <x:c r="S135" s="101"/>
      <x:c r="T135" s="107"/>
      <x:c r="U135" s="113" t="str">
        <x:f>IF(A135="","",IF(S135&lt;&gt;"",0,IF(I135&lt;&gt;"",I135-TODAY(),IF(R135&lt;&gt;"",R135-TODAY(),""))))</x:f>
      </x:c>
      <x:c r="V135" s="113" t="str">
        <x:f>IF(A135="","",IF(S135&lt;&gt;"",MAX(0,S135-IF(I135&lt;&gt;"",I135,R135)),IF(OR(I135&lt;&gt;"",R135&lt;&gt;""),MAX(0,TODAY()-IF(I135&lt;&gt;"",I135,R135)),0)))</x:f>
      </x:c>
      <x:c r="W135" s="95"/>
      <x:c r="X135" s="95"/>
      <x:c r="Y135" s="92"/>
      <x:c r="Z135" s="92"/>
      <x:c r="AA135" s="92"/>
      <x:c r="AB135" s="92"/>
      <x:c r="AC135" s="113" t="str">
        <x:f>IF(A135="","",IF(P135="","",IF(S135&lt;&gt;"",S135-P135,TODAY()-P135)))</x:f>
      </x:c>
    </x:row>
    <x:row r="136" ht="28" customHeight="1">
      <x:c r="A136" s="92"/>
      <x:c r="B136" s="95"/>
      <x:c r="C136" s="92"/>
      <x:c r="D136" s="92"/>
      <x:c r="E136" s="92"/>
      <x:c r="F136" s="92"/>
      <x:c r="G136" s="92"/>
      <x:c r="H136" s="92"/>
      <x:c r="I136" s="101"/>
      <x:c r="J136" s="107"/>
      <x:c r="K136" s="110" t="str">
        <x:f>IF(A136="","",IFERROR(VLOOKUP(C136,'Cấu hình'!$A$12:$D$19,2,FALSE),0))</x:f>
      </x:c>
      <x:c r="L136" s="92"/>
      <x:c r="M136" s="92"/>
      <x:c r="N136" s="95"/>
      <x:c r="O136" s="101"/>
      <x:c r="P136" s="101"/>
      <x:c r="Q136" s="101"/>
      <x:c r="R136" s="104" t="str">
        <x:f>IF(OR(P136="",D136=""),"",P136+IFERROR(VLOOKUP(D136,'Cấu hình'!$E$12:$G$15,3,FALSE),0))</x:f>
      </x:c>
      <x:c r="S136" s="101"/>
      <x:c r="T136" s="107"/>
      <x:c r="U136" s="113" t="str">
        <x:f>IF(A136="","",IF(S136&lt;&gt;"",0,IF(I136&lt;&gt;"",I136-TODAY(),IF(R136&lt;&gt;"",R136-TODAY(),""))))</x:f>
      </x:c>
      <x:c r="V136" s="113" t="str">
        <x:f>IF(A136="","",IF(S136&lt;&gt;"",MAX(0,S136-IF(I136&lt;&gt;"",I136,R136)),IF(OR(I136&lt;&gt;"",R136&lt;&gt;""),MAX(0,TODAY()-IF(I136&lt;&gt;"",I136,R136)),0)))</x:f>
      </x:c>
      <x:c r="W136" s="95"/>
      <x:c r="X136" s="95"/>
      <x:c r="Y136" s="92"/>
      <x:c r="Z136" s="92"/>
      <x:c r="AA136" s="92"/>
      <x:c r="AB136" s="92"/>
      <x:c r="AC136" s="113" t="str">
        <x:f>IF(A136="","",IF(P136="","",IF(S136&lt;&gt;"",S136-P136,TODAY()-P136)))</x:f>
      </x:c>
    </x:row>
    <x:row r="137" ht="28" customHeight="1">
      <x:c r="A137" s="92"/>
      <x:c r="B137" s="95"/>
      <x:c r="C137" s="92"/>
      <x:c r="D137" s="92"/>
      <x:c r="E137" s="92"/>
      <x:c r="F137" s="92"/>
      <x:c r="G137" s="92"/>
      <x:c r="H137" s="92"/>
      <x:c r="I137" s="101"/>
      <x:c r="J137" s="107"/>
      <x:c r="K137" s="110" t="str">
        <x:f>IF(A137="","",IFERROR(VLOOKUP(C137,'Cấu hình'!$A$12:$D$19,2,FALSE),0))</x:f>
      </x:c>
      <x:c r="L137" s="92"/>
      <x:c r="M137" s="92"/>
      <x:c r="N137" s="95"/>
      <x:c r="O137" s="101"/>
      <x:c r="P137" s="101"/>
      <x:c r="Q137" s="101"/>
      <x:c r="R137" s="104" t="str">
        <x:f>IF(OR(P137="",D137=""),"",P137+IFERROR(VLOOKUP(D137,'Cấu hình'!$E$12:$G$15,3,FALSE),0))</x:f>
      </x:c>
      <x:c r="S137" s="101"/>
      <x:c r="T137" s="107"/>
      <x:c r="U137" s="113" t="str">
        <x:f>IF(A137="","",IF(S137&lt;&gt;"",0,IF(I137&lt;&gt;"",I137-TODAY(),IF(R137&lt;&gt;"",R137-TODAY(),""))))</x:f>
      </x:c>
      <x:c r="V137" s="113" t="str">
        <x:f>IF(A137="","",IF(S137&lt;&gt;"",MAX(0,S137-IF(I137&lt;&gt;"",I137,R137)),IF(OR(I137&lt;&gt;"",R137&lt;&gt;""),MAX(0,TODAY()-IF(I137&lt;&gt;"",I137,R137)),0)))</x:f>
      </x:c>
      <x:c r="W137" s="95"/>
      <x:c r="X137" s="95"/>
      <x:c r="Y137" s="92"/>
      <x:c r="Z137" s="92"/>
      <x:c r="AA137" s="92"/>
      <x:c r="AB137" s="92"/>
      <x:c r="AC137" s="113" t="str">
        <x:f>IF(A137="","",IF(P137="","",IF(S137&lt;&gt;"",S137-P137,TODAY()-P137)))</x:f>
      </x:c>
    </x:row>
    <x:row r="138" ht="28" customHeight="1">
      <x:c r="A138" s="92"/>
      <x:c r="B138" s="95"/>
      <x:c r="C138" s="92"/>
      <x:c r="D138" s="92"/>
      <x:c r="E138" s="92"/>
      <x:c r="F138" s="92"/>
      <x:c r="G138" s="92"/>
      <x:c r="H138" s="92"/>
      <x:c r="I138" s="101"/>
      <x:c r="J138" s="107"/>
      <x:c r="K138" s="110" t="str">
        <x:f>IF(A138="","",IFERROR(VLOOKUP(C138,'Cấu hình'!$A$12:$D$19,2,FALSE),0))</x:f>
      </x:c>
      <x:c r="L138" s="92"/>
      <x:c r="M138" s="92"/>
      <x:c r="N138" s="95"/>
      <x:c r="O138" s="101"/>
      <x:c r="P138" s="101"/>
      <x:c r="Q138" s="101"/>
      <x:c r="R138" s="104" t="str">
        <x:f>IF(OR(P138="",D138=""),"",P138+IFERROR(VLOOKUP(D138,'Cấu hình'!$E$12:$G$15,3,FALSE),0))</x:f>
      </x:c>
      <x:c r="S138" s="101"/>
      <x:c r="T138" s="107"/>
      <x:c r="U138" s="113" t="str">
        <x:f>IF(A138="","",IF(S138&lt;&gt;"",0,IF(I138&lt;&gt;"",I138-TODAY(),IF(R138&lt;&gt;"",R138-TODAY(),""))))</x:f>
      </x:c>
      <x:c r="V138" s="113" t="str">
        <x:f>IF(A138="","",IF(S138&lt;&gt;"",MAX(0,S138-IF(I138&lt;&gt;"",I138,R138)),IF(OR(I138&lt;&gt;"",R138&lt;&gt;""),MAX(0,TODAY()-IF(I138&lt;&gt;"",I138,R138)),0)))</x:f>
      </x:c>
      <x:c r="W138" s="95"/>
      <x:c r="X138" s="95"/>
      <x:c r="Y138" s="92"/>
      <x:c r="Z138" s="92"/>
      <x:c r="AA138" s="92"/>
      <x:c r="AB138" s="92"/>
      <x:c r="AC138" s="113" t="str">
        <x:f>IF(A138="","",IF(P138="","",IF(S138&lt;&gt;"",S138-P138,TODAY()-P138)))</x:f>
      </x:c>
    </x:row>
    <x:row r="139" ht="28" customHeight="1">
      <x:c r="A139" s="92"/>
      <x:c r="B139" s="95"/>
      <x:c r="C139" s="92"/>
      <x:c r="D139" s="92"/>
      <x:c r="E139" s="92"/>
      <x:c r="F139" s="92"/>
      <x:c r="G139" s="92"/>
      <x:c r="H139" s="92"/>
      <x:c r="I139" s="101"/>
      <x:c r="J139" s="107"/>
      <x:c r="K139" s="110" t="str">
        <x:f>IF(A139="","",IFERROR(VLOOKUP(C139,'Cấu hình'!$A$12:$D$19,2,FALSE),0))</x:f>
      </x:c>
      <x:c r="L139" s="92"/>
      <x:c r="M139" s="92"/>
      <x:c r="N139" s="95"/>
      <x:c r="O139" s="101"/>
      <x:c r="P139" s="101"/>
      <x:c r="Q139" s="101"/>
      <x:c r="R139" s="104" t="str">
        <x:f>IF(OR(P139="",D139=""),"",P139+IFERROR(VLOOKUP(D139,'Cấu hình'!$E$12:$G$15,3,FALSE),0))</x:f>
      </x:c>
      <x:c r="S139" s="101"/>
      <x:c r="T139" s="107"/>
      <x:c r="U139" s="113" t="str">
        <x:f>IF(A139="","",IF(S139&lt;&gt;"",0,IF(I139&lt;&gt;"",I139-TODAY(),IF(R139&lt;&gt;"",R139-TODAY(),""))))</x:f>
      </x:c>
      <x:c r="V139" s="113" t="str">
        <x:f>IF(A139="","",IF(S139&lt;&gt;"",MAX(0,S139-IF(I139&lt;&gt;"",I139,R139)),IF(OR(I139&lt;&gt;"",R139&lt;&gt;""),MAX(0,TODAY()-IF(I139&lt;&gt;"",I139,R139)),0)))</x:f>
      </x:c>
      <x:c r="W139" s="95"/>
      <x:c r="X139" s="95"/>
      <x:c r="Y139" s="92"/>
      <x:c r="Z139" s="92"/>
      <x:c r="AA139" s="92"/>
      <x:c r="AB139" s="92"/>
      <x:c r="AC139" s="113" t="str">
        <x:f>IF(A139="","",IF(P139="","",IF(S139&lt;&gt;"",S139-P139,TODAY()-P139)))</x:f>
      </x:c>
    </x:row>
    <x:row r="140" ht="28" customHeight="1">
      <x:c r="A140" s="92"/>
      <x:c r="B140" s="95"/>
      <x:c r="C140" s="92"/>
      <x:c r="D140" s="92"/>
      <x:c r="E140" s="92"/>
      <x:c r="F140" s="92"/>
      <x:c r="G140" s="92"/>
      <x:c r="H140" s="92"/>
      <x:c r="I140" s="101"/>
      <x:c r="J140" s="107"/>
      <x:c r="K140" s="110" t="str">
        <x:f>IF(A140="","",IFERROR(VLOOKUP(C140,'Cấu hình'!$A$12:$D$19,2,FALSE),0))</x:f>
      </x:c>
      <x:c r="L140" s="92"/>
      <x:c r="M140" s="92"/>
      <x:c r="N140" s="95"/>
      <x:c r="O140" s="101"/>
      <x:c r="P140" s="101"/>
      <x:c r="Q140" s="101"/>
      <x:c r="R140" s="104" t="str">
        <x:f>IF(OR(P140="",D140=""),"",P140+IFERROR(VLOOKUP(D140,'Cấu hình'!$E$12:$G$15,3,FALSE),0))</x:f>
      </x:c>
      <x:c r="S140" s="101"/>
      <x:c r="T140" s="107"/>
      <x:c r="U140" s="113" t="str">
        <x:f>IF(A140="","",IF(S140&lt;&gt;"",0,IF(I140&lt;&gt;"",I140-TODAY(),IF(R140&lt;&gt;"",R140-TODAY(),""))))</x:f>
      </x:c>
      <x:c r="V140" s="113" t="str">
        <x:f>IF(A140="","",IF(S140&lt;&gt;"",MAX(0,S140-IF(I140&lt;&gt;"",I140,R140)),IF(OR(I140&lt;&gt;"",R140&lt;&gt;""),MAX(0,TODAY()-IF(I140&lt;&gt;"",I140,R140)),0)))</x:f>
      </x:c>
      <x:c r="W140" s="95"/>
      <x:c r="X140" s="95"/>
      <x:c r="Y140" s="92"/>
      <x:c r="Z140" s="92"/>
      <x:c r="AA140" s="92"/>
      <x:c r="AB140" s="92"/>
      <x:c r="AC140" s="113" t="str">
        <x:f>IF(A140="","",IF(P140="","",IF(S140&lt;&gt;"",S140-P140,TODAY()-P140)))</x:f>
      </x:c>
    </x:row>
    <x:row r="141" ht="28" customHeight="1">
      <x:c r="A141" s="92"/>
      <x:c r="B141" s="95"/>
      <x:c r="C141" s="92"/>
      <x:c r="D141" s="92"/>
      <x:c r="E141" s="92"/>
      <x:c r="F141" s="92"/>
      <x:c r="G141" s="92"/>
      <x:c r="H141" s="92"/>
      <x:c r="I141" s="101"/>
      <x:c r="J141" s="107"/>
      <x:c r="K141" s="110" t="str">
        <x:f>IF(A141="","",IFERROR(VLOOKUP(C141,'Cấu hình'!$A$12:$D$19,2,FALSE),0))</x:f>
      </x:c>
      <x:c r="L141" s="92"/>
      <x:c r="M141" s="92"/>
      <x:c r="N141" s="95"/>
      <x:c r="O141" s="101"/>
      <x:c r="P141" s="101"/>
      <x:c r="Q141" s="101"/>
      <x:c r="R141" s="104" t="str">
        <x:f>IF(OR(P141="",D141=""),"",P141+IFERROR(VLOOKUP(D141,'Cấu hình'!$E$12:$G$15,3,FALSE),0))</x:f>
      </x:c>
      <x:c r="S141" s="101"/>
      <x:c r="T141" s="107"/>
      <x:c r="U141" s="113" t="str">
        <x:f>IF(A141="","",IF(S141&lt;&gt;"",0,IF(I141&lt;&gt;"",I141-TODAY(),IF(R141&lt;&gt;"",R141-TODAY(),""))))</x:f>
      </x:c>
      <x:c r="V141" s="113" t="str">
        <x:f>IF(A141="","",IF(S141&lt;&gt;"",MAX(0,S141-IF(I141&lt;&gt;"",I141,R141)),IF(OR(I141&lt;&gt;"",R141&lt;&gt;""),MAX(0,TODAY()-IF(I141&lt;&gt;"",I141,R141)),0)))</x:f>
      </x:c>
      <x:c r="W141" s="95"/>
      <x:c r="X141" s="95"/>
      <x:c r="Y141" s="92"/>
      <x:c r="Z141" s="92"/>
      <x:c r="AA141" s="92"/>
      <x:c r="AB141" s="92"/>
      <x:c r="AC141" s="113" t="str">
        <x:f>IF(A141="","",IF(P141="","",IF(S141&lt;&gt;"",S141-P141,TODAY()-P141)))</x:f>
      </x:c>
    </x:row>
    <x:row r="142" ht="28" customHeight="1">
      <x:c r="A142" s="92"/>
      <x:c r="B142" s="95"/>
      <x:c r="C142" s="92"/>
      <x:c r="D142" s="92"/>
      <x:c r="E142" s="92"/>
      <x:c r="F142" s="92"/>
      <x:c r="G142" s="92"/>
      <x:c r="H142" s="92"/>
      <x:c r="I142" s="101"/>
      <x:c r="J142" s="107"/>
      <x:c r="K142" s="110" t="str">
        <x:f>IF(A142="","",IFERROR(VLOOKUP(C142,'Cấu hình'!$A$12:$D$19,2,FALSE),0))</x:f>
      </x:c>
      <x:c r="L142" s="92"/>
      <x:c r="M142" s="92"/>
      <x:c r="N142" s="95"/>
      <x:c r="O142" s="101"/>
      <x:c r="P142" s="101"/>
      <x:c r="Q142" s="101"/>
      <x:c r="R142" s="104" t="str">
        <x:f>IF(OR(P142="",D142=""),"",P142+IFERROR(VLOOKUP(D142,'Cấu hình'!$E$12:$G$15,3,FALSE),0))</x:f>
      </x:c>
      <x:c r="S142" s="101"/>
      <x:c r="T142" s="107"/>
      <x:c r="U142" s="113" t="str">
        <x:f>IF(A142="","",IF(S142&lt;&gt;"",0,IF(I142&lt;&gt;"",I142-TODAY(),IF(R142&lt;&gt;"",R142-TODAY(),""))))</x:f>
      </x:c>
      <x:c r="V142" s="113" t="str">
        <x:f>IF(A142="","",IF(S142&lt;&gt;"",MAX(0,S142-IF(I142&lt;&gt;"",I142,R142)),IF(OR(I142&lt;&gt;"",R142&lt;&gt;""),MAX(0,TODAY()-IF(I142&lt;&gt;"",I142,R142)),0)))</x:f>
      </x:c>
      <x:c r="W142" s="95"/>
      <x:c r="X142" s="95"/>
      <x:c r="Y142" s="92"/>
      <x:c r="Z142" s="92"/>
      <x:c r="AA142" s="92"/>
      <x:c r="AB142" s="92"/>
      <x:c r="AC142" s="113" t="str">
        <x:f>IF(A142="","",IF(P142="","",IF(S142&lt;&gt;"",S142-P142,TODAY()-P142)))</x:f>
      </x:c>
    </x:row>
    <x:row r="143" ht="28" customHeight="1">
      <x:c r="A143" s="92"/>
      <x:c r="B143" s="95"/>
      <x:c r="C143" s="92"/>
      <x:c r="D143" s="92"/>
      <x:c r="E143" s="92"/>
      <x:c r="F143" s="92"/>
      <x:c r="G143" s="92"/>
      <x:c r="H143" s="92"/>
      <x:c r="I143" s="101"/>
      <x:c r="J143" s="107"/>
      <x:c r="K143" s="110" t="str">
        <x:f>IF(A143="","",IFERROR(VLOOKUP(C143,'Cấu hình'!$A$12:$D$19,2,FALSE),0))</x:f>
      </x:c>
      <x:c r="L143" s="92"/>
      <x:c r="M143" s="92"/>
      <x:c r="N143" s="95"/>
      <x:c r="O143" s="101"/>
      <x:c r="P143" s="101"/>
      <x:c r="Q143" s="101"/>
      <x:c r="R143" s="104" t="str">
        <x:f>IF(OR(P143="",D143=""),"",P143+IFERROR(VLOOKUP(D143,'Cấu hình'!$E$12:$G$15,3,FALSE),0))</x:f>
      </x:c>
      <x:c r="S143" s="101"/>
      <x:c r="T143" s="107"/>
      <x:c r="U143" s="113" t="str">
        <x:f>IF(A143="","",IF(S143&lt;&gt;"",0,IF(I143&lt;&gt;"",I143-TODAY(),IF(R143&lt;&gt;"",R143-TODAY(),""))))</x:f>
      </x:c>
      <x:c r="V143" s="113" t="str">
        <x:f>IF(A143="","",IF(S143&lt;&gt;"",MAX(0,S143-IF(I143&lt;&gt;"",I143,R143)),IF(OR(I143&lt;&gt;"",R143&lt;&gt;""),MAX(0,TODAY()-IF(I143&lt;&gt;"",I143,R143)),0)))</x:f>
      </x:c>
      <x:c r="W143" s="95"/>
      <x:c r="X143" s="95"/>
      <x:c r="Y143" s="92"/>
      <x:c r="Z143" s="92"/>
      <x:c r="AA143" s="92"/>
      <x:c r="AB143" s="92"/>
      <x:c r="AC143" s="113" t="str">
        <x:f>IF(A143="","",IF(P143="","",IF(S143&lt;&gt;"",S143-P143,TODAY()-P143)))</x:f>
      </x:c>
    </x:row>
    <x:row r="144" ht="28" customHeight="1">
      <x:c r="A144" s="92"/>
      <x:c r="B144" s="95"/>
      <x:c r="C144" s="92"/>
      <x:c r="D144" s="92"/>
      <x:c r="E144" s="92"/>
      <x:c r="F144" s="92"/>
      <x:c r="G144" s="92"/>
      <x:c r="H144" s="92"/>
      <x:c r="I144" s="101"/>
      <x:c r="J144" s="107"/>
      <x:c r="K144" s="110" t="str">
        <x:f>IF(A144="","",IFERROR(VLOOKUP(C144,'Cấu hình'!$A$12:$D$19,2,FALSE),0))</x:f>
      </x:c>
      <x:c r="L144" s="92"/>
      <x:c r="M144" s="92"/>
      <x:c r="N144" s="95"/>
      <x:c r="O144" s="101"/>
      <x:c r="P144" s="101"/>
      <x:c r="Q144" s="101"/>
      <x:c r="R144" s="104" t="str">
        <x:f>IF(OR(P144="",D144=""),"",P144+IFERROR(VLOOKUP(D144,'Cấu hình'!$E$12:$G$15,3,FALSE),0))</x:f>
      </x:c>
      <x:c r="S144" s="101"/>
      <x:c r="T144" s="107"/>
      <x:c r="U144" s="113" t="str">
        <x:f>IF(A144="","",IF(S144&lt;&gt;"",0,IF(I144&lt;&gt;"",I144-TODAY(),IF(R144&lt;&gt;"",R144-TODAY(),""))))</x:f>
      </x:c>
      <x:c r="V144" s="113" t="str">
        <x:f>IF(A144="","",IF(S144&lt;&gt;"",MAX(0,S144-IF(I144&lt;&gt;"",I144,R144)),IF(OR(I144&lt;&gt;"",R144&lt;&gt;""),MAX(0,TODAY()-IF(I144&lt;&gt;"",I144,R144)),0)))</x:f>
      </x:c>
      <x:c r="W144" s="95"/>
      <x:c r="X144" s="95"/>
      <x:c r="Y144" s="92"/>
      <x:c r="Z144" s="92"/>
      <x:c r="AA144" s="92"/>
      <x:c r="AB144" s="92"/>
      <x:c r="AC144" s="113" t="str">
        <x:f>IF(A144="","",IF(P144="","",IF(S144&lt;&gt;"",S144-P144,TODAY()-P144)))</x:f>
      </x:c>
    </x:row>
    <x:row r="145" ht="28" customHeight="1">
      <x:c r="A145" s="92"/>
      <x:c r="B145" s="95"/>
      <x:c r="C145" s="92"/>
      <x:c r="D145" s="92"/>
      <x:c r="E145" s="92"/>
      <x:c r="F145" s="92"/>
      <x:c r="G145" s="92"/>
      <x:c r="H145" s="92"/>
      <x:c r="I145" s="101"/>
      <x:c r="J145" s="107"/>
      <x:c r="K145" s="110" t="str">
        <x:f>IF(A145="","",IFERROR(VLOOKUP(C145,'Cấu hình'!$A$12:$D$19,2,FALSE),0))</x:f>
      </x:c>
      <x:c r="L145" s="92"/>
      <x:c r="M145" s="92"/>
      <x:c r="N145" s="95"/>
      <x:c r="O145" s="101"/>
      <x:c r="P145" s="101"/>
      <x:c r="Q145" s="101"/>
      <x:c r="R145" s="104" t="str">
        <x:f>IF(OR(P145="",D145=""),"",P145+IFERROR(VLOOKUP(D145,'Cấu hình'!$E$12:$G$15,3,FALSE),0))</x:f>
      </x:c>
      <x:c r="S145" s="101"/>
      <x:c r="T145" s="107"/>
      <x:c r="U145" s="113" t="str">
        <x:f>IF(A145="","",IF(S145&lt;&gt;"",0,IF(I145&lt;&gt;"",I145-TODAY(),IF(R145&lt;&gt;"",R145-TODAY(),""))))</x:f>
      </x:c>
      <x:c r="V145" s="113" t="str">
        <x:f>IF(A145="","",IF(S145&lt;&gt;"",MAX(0,S145-IF(I145&lt;&gt;"",I145,R145)),IF(OR(I145&lt;&gt;"",R145&lt;&gt;""),MAX(0,TODAY()-IF(I145&lt;&gt;"",I145,R145)),0)))</x:f>
      </x:c>
      <x:c r="W145" s="95"/>
      <x:c r="X145" s="95"/>
      <x:c r="Y145" s="92"/>
      <x:c r="Z145" s="92"/>
      <x:c r="AA145" s="92"/>
      <x:c r="AB145" s="92"/>
      <x:c r="AC145" s="113" t="str">
        <x:f>IF(A145="","",IF(P145="","",IF(S145&lt;&gt;"",S145-P145,TODAY()-P145)))</x:f>
      </x:c>
    </x:row>
    <x:row r="146" ht="28" customHeight="1">
      <x:c r="A146" s="92"/>
      <x:c r="B146" s="95"/>
      <x:c r="C146" s="92"/>
      <x:c r="D146" s="92"/>
      <x:c r="E146" s="92"/>
      <x:c r="F146" s="92"/>
      <x:c r="G146" s="92"/>
      <x:c r="H146" s="92"/>
      <x:c r="I146" s="101"/>
      <x:c r="J146" s="107"/>
      <x:c r="K146" s="110" t="str">
        <x:f>IF(A146="","",IFERROR(VLOOKUP(C146,'Cấu hình'!$A$12:$D$19,2,FALSE),0))</x:f>
      </x:c>
      <x:c r="L146" s="92"/>
      <x:c r="M146" s="92"/>
      <x:c r="N146" s="95"/>
      <x:c r="O146" s="101"/>
      <x:c r="P146" s="101"/>
      <x:c r="Q146" s="101"/>
      <x:c r="R146" s="104" t="str">
        <x:f>IF(OR(P146="",D146=""),"",P146+IFERROR(VLOOKUP(D146,'Cấu hình'!$E$12:$G$15,3,FALSE),0))</x:f>
      </x:c>
      <x:c r="S146" s="101"/>
      <x:c r="T146" s="107"/>
      <x:c r="U146" s="113" t="str">
        <x:f>IF(A146="","",IF(S146&lt;&gt;"",0,IF(I146&lt;&gt;"",I146-TODAY(),IF(R146&lt;&gt;"",R146-TODAY(),""))))</x:f>
      </x:c>
      <x:c r="V146" s="113" t="str">
        <x:f>IF(A146="","",IF(S146&lt;&gt;"",MAX(0,S146-IF(I146&lt;&gt;"",I146,R146)),IF(OR(I146&lt;&gt;"",R146&lt;&gt;""),MAX(0,TODAY()-IF(I146&lt;&gt;"",I146,R146)),0)))</x:f>
      </x:c>
      <x:c r="W146" s="95"/>
      <x:c r="X146" s="95"/>
      <x:c r="Y146" s="92"/>
      <x:c r="Z146" s="92"/>
      <x:c r="AA146" s="92"/>
      <x:c r="AB146" s="92"/>
      <x:c r="AC146" s="113" t="str">
        <x:f>IF(A146="","",IF(P146="","",IF(S146&lt;&gt;"",S146-P146,TODAY()-P146)))</x:f>
      </x:c>
    </x:row>
    <x:row r="147" ht="28" customHeight="1">
      <x:c r="A147" s="92"/>
      <x:c r="B147" s="95"/>
      <x:c r="C147" s="92"/>
      <x:c r="D147" s="92"/>
      <x:c r="E147" s="92"/>
      <x:c r="F147" s="92"/>
      <x:c r="G147" s="92"/>
      <x:c r="H147" s="92"/>
      <x:c r="I147" s="101"/>
      <x:c r="J147" s="107"/>
      <x:c r="K147" s="110" t="str">
        <x:f>IF(A147="","",IFERROR(VLOOKUP(C147,'Cấu hình'!$A$12:$D$19,2,FALSE),0))</x:f>
      </x:c>
      <x:c r="L147" s="92"/>
      <x:c r="M147" s="92"/>
      <x:c r="N147" s="95"/>
      <x:c r="O147" s="101"/>
      <x:c r="P147" s="101"/>
      <x:c r="Q147" s="101"/>
      <x:c r="R147" s="104" t="str">
        <x:f>IF(OR(P147="",D147=""),"",P147+IFERROR(VLOOKUP(D147,'Cấu hình'!$E$12:$G$15,3,FALSE),0))</x:f>
      </x:c>
      <x:c r="S147" s="101"/>
      <x:c r="T147" s="107"/>
      <x:c r="U147" s="113" t="str">
        <x:f>IF(A147="","",IF(S147&lt;&gt;"",0,IF(I147&lt;&gt;"",I147-TODAY(),IF(R147&lt;&gt;"",R147-TODAY(),""))))</x:f>
      </x:c>
      <x:c r="V147" s="113" t="str">
        <x:f>IF(A147="","",IF(S147&lt;&gt;"",MAX(0,S147-IF(I147&lt;&gt;"",I147,R147)),IF(OR(I147&lt;&gt;"",R147&lt;&gt;""),MAX(0,TODAY()-IF(I147&lt;&gt;"",I147,R147)),0)))</x:f>
      </x:c>
      <x:c r="W147" s="95"/>
      <x:c r="X147" s="95"/>
      <x:c r="Y147" s="92"/>
      <x:c r="Z147" s="92"/>
      <x:c r="AA147" s="92"/>
      <x:c r="AB147" s="92"/>
      <x:c r="AC147" s="113" t="str">
        <x:f>IF(A147="","",IF(P147="","",IF(S147&lt;&gt;"",S147-P147,TODAY()-P147)))</x:f>
      </x:c>
    </x:row>
    <x:row r="148" ht="28" customHeight="1">
      <x:c r="A148" s="92"/>
      <x:c r="B148" s="95"/>
      <x:c r="C148" s="92"/>
      <x:c r="D148" s="92"/>
      <x:c r="E148" s="92"/>
      <x:c r="F148" s="92"/>
      <x:c r="G148" s="92"/>
      <x:c r="H148" s="92"/>
      <x:c r="I148" s="101"/>
      <x:c r="J148" s="107"/>
      <x:c r="K148" s="110" t="str">
        <x:f>IF(A148="","",IFERROR(VLOOKUP(C148,'Cấu hình'!$A$12:$D$19,2,FALSE),0))</x:f>
      </x:c>
      <x:c r="L148" s="92"/>
      <x:c r="M148" s="92"/>
      <x:c r="N148" s="95"/>
      <x:c r="O148" s="101"/>
      <x:c r="P148" s="101"/>
      <x:c r="Q148" s="101"/>
      <x:c r="R148" s="104" t="str">
        <x:f>IF(OR(P148="",D148=""),"",P148+IFERROR(VLOOKUP(D148,'Cấu hình'!$E$12:$G$15,3,FALSE),0))</x:f>
      </x:c>
      <x:c r="S148" s="101"/>
      <x:c r="T148" s="107"/>
      <x:c r="U148" s="113" t="str">
        <x:f>IF(A148="","",IF(S148&lt;&gt;"",0,IF(I148&lt;&gt;"",I148-TODAY(),IF(R148&lt;&gt;"",R148-TODAY(),""))))</x:f>
      </x:c>
      <x:c r="V148" s="113" t="str">
        <x:f>IF(A148="","",IF(S148&lt;&gt;"",MAX(0,S148-IF(I148&lt;&gt;"",I148,R148)),IF(OR(I148&lt;&gt;"",R148&lt;&gt;""),MAX(0,TODAY()-IF(I148&lt;&gt;"",I148,R148)),0)))</x:f>
      </x:c>
      <x:c r="W148" s="95"/>
      <x:c r="X148" s="95"/>
      <x:c r="Y148" s="92"/>
      <x:c r="Z148" s="92"/>
      <x:c r="AA148" s="92"/>
      <x:c r="AB148" s="92"/>
      <x:c r="AC148" s="113" t="str">
        <x:f>IF(A148="","",IF(P148="","",IF(S148&lt;&gt;"",S148-P148,TODAY()-P148)))</x:f>
      </x:c>
    </x:row>
    <x:row r="149" ht="28" customHeight="1">
      <x:c r="A149" s="92"/>
      <x:c r="B149" s="95"/>
      <x:c r="C149" s="92"/>
      <x:c r="D149" s="92"/>
      <x:c r="E149" s="92"/>
      <x:c r="F149" s="92"/>
      <x:c r="G149" s="92"/>
      <x:c r="H149" s="92"/>
      <x:c r="I149" s="101"/>
      <x:c r="J149" s="107"/>
      <x:c r="K149" s="110" t="str">
        <x:f>IF(A149="","",IFERROR(VLOOKUP(C149,'Cấu hình'!$A$12:$D$19,2,FALSE),0))</x:f>
      </x:c>
      <x:c r="L149" s="92"/>
      <x:c r="M149" s="92"/>
      <x:c r="N149" s="95"/>
      <x:c r="O149" s="101"/>
      <x:c r="P149" s="101"/>
      <x:c r="Q149" s="101"/>
      <x:c r="R149" s="104" t="str">
        <x:f>IF(OR(P149="",D149=""),"",P149+IFERROR(VLOOKUP(D149,'Cấu hình'!$E$12:$G$15,3,FALSE),0))</x:f>
      </x:c>
      <x:c r="S149" s="101"/>
      <x:c r="T149" s="107"/>
      <x:c r="U149" s="113" t="str">
        <x:f>IF(A149="","",IF(S149&lt;&gt;"",0,IF(I149&lt;&gt;"",I149-TODAY(),IF(R149&lt;&gt;"",R149-TODAY(),""))))</x:f>
      </x:c>
      <x:c r="V149" s="113" t="str">
        <x:f>IF(A149="","",IF(S149&lt;&gt;"",MAX(0,S149-IF(I149&lt;&gt;"",I149,R149)),IF(OR(I149&lt;&gt;"",R149&lt;&gt;""),MAX(0,TODAY()-IF(I149&lt;&gt;"",I149,R149)),0)))</x:f>
      </x:c>
      <x:c r="W149" s="95"/>
      <x:c r="X149" s="95"/>
      <x:c r="Y149" s="92"/>
      <x:c r="Z149" s="92"/>
      <x:c r="AA149" s="92"/>
      <x:c r="AB149" s="92"/>
      <x:c r="AC149" s="113" t="str">
        <x:f>IF(A149="","",IF(P149="","",IF(S149&lt;&gt;"",S149-P149,TODAY()-P149)))</x:f>
      </x:c>
    </x:row>
    <x:row r="150" ht="28" customHeight="1">
      <x:c r="A150" s="92"/>
      <x:c r="B150" s="95"/>
      <x:c r="C150" s="92"/>
      <x:c r="D150" s="92"/>
      <x:c r="E150" s="92"/>
      <x:c r="F150" s="92"/>
      <x:c r="G150" s="92"/>
      <x:c r="H150" s="92"/>
      <x:c r="I150" s="101"/>
      <x:c r="J150" s="107"/>
      <x:c r="K150" s="110" t="str">
        <x:f>IF(A150="","",IFERROR(VLOOKUP(C150,'Cấu hình'!$A$12:$D$19,2,FALSE),0))</x:f>
      </x:c>
      <x:c r="L150" s="92"/>
      <x:c r="M150" s="92"/>
      <x:c r="N150" s="95"/>
      <x:c r="O150" s="101"/>
      <x:c r="P150" s="101"/>
      <x:c r="Q150" s="101"/>
      <x:c r="R150" s="104" t="str">
        <x:f>IF(OR(P150="",D150=""),"",P150+IFERROR(VLOOKUP(D150,'Cấu hình'!$E$12:$G$15,3,FALSE),0))</x:f>
      </x:c>
      <x:c r="S150" s="101"/>
      <x:c r="T150" s="107"/>
      <x:c r="U150" s="113" t="str">
        <x:f>IF(A150="","",IF(S150&lt;&gt;"",0,IF(I150&lt;&gt;"",I150-TODAY(),IF(R150&lt;&gt;"",R150-TODAY(),""))))</x:f>
      </x:c>
      <x:c r="V150" s="113" t="str">
        <x:f>IF(A150="","",IF(S150&lt;&gt;"",MAX(0,S150-IF(I150&lt;&gt;"",I150,R150)),IF(OR(I150&lt;&gt;"",R150&lt;&gt;""),MAX(0,TODAY()-IF(I150&lt;&gt;"",I150,R150)),0)))</x:f>
      </x:c>
      <x:c r="W150" s="95"/>
      <x:c r="X150" s="95"/>
      <x:c r="Y150" s="92"/>
      <x:c r="Z150" s="92"/>
      <x:c r="AA150" s="92"/>
      <x:c r="AB150" s="92"/>
      <x:c r="AC150" s="113" t="str">
        <x:f>IF(A150="","",IF(P150="","",IF(S150&lt;&gt;"",S150-P150,TODAY()-P150)))</x:f>
      </x:c>
    </x:row>
    <x:row r="151" ht="28" customHeight="1">
      <x:c r="A151" s="92"/>
      <x:c r="B151" s="95"/>
      <x:c r="C151" s="92"/>
      <x:c r="D151" s="92"/>
      <x:c r="E151" s="92"/>
      <x:c r="F151" s="92"/>
      <x:c r="G151" s="92"/>
      <x:c r="H151" s="92"/>
      <x:c r="I151" s="101"/>
      <x:c r="J151" s="107"/>
      <x:c r="K151" s="110" t="str">
        <x:f>IF(A151="","",IFERROR(VLOOKUP(C151,'Cấu hình'!$A$12:$D$19,2,FALSE),0))</x:f>
      </x:c>
      <x:c r="L151" s="92"/>
      <x:c r="M151" s="92"/>
      <x:c r="N151" s="95"/>
      <x:c r="O151" s="101"/>
      <x:c r="P151" s="101"/>
      <x:c r="Q151" s="101"/>
      <x:c r="R151" s="104" t="str">
        <x:f>IF(OR(P151="",D151=""),"",P151+IFERROR(VLOOKUP(D151,'Cấu hình'!$E$12:$G$15,3,FALSE),0))</x:f>
      </x:c>
      <x:c r="S151" s="101"/>
      <x:c r="T151" s="107"/>
      <x:c r="U151" s="113" t="str">
        <x:f>IF(A151="","",IF(S151&lt;&gt;"",0,IF(I151&lt;&gt;"",I151-TODAY(),IF(R151&lt;&gt;"",R151-TODAY(),""))))</x:f>
      </x:c>
      <x:c r="V151" s="113" t="str">
        <x:f>IF(A151="","",IF(S151&lt;&gt;"",MAX(0,S151-IF(I151&lt;&gt;"",I151,R151)),IF(OR(I151&lt;&gt;"",R151&lt;&gt;""),MAX(0,TODAY()-IF(I151&lt;&gt;"",I151,R151)),0)))</x:f>
      </x:c>
      <x:c r="W151" s="95"/>
      <x:c r="X151" s="95"/>
      <x:c r="Y151" s="92"/>
      <x:c r="Z151" s="92"/>
      <x:c r="AA151" s="92"/>
      <x:c r="AB151" s="92"/>
      <x:c r="AC151" s="113" t="str">
        <x:f>IF(A151="","",IF(P151="","",IF(S151&lt;&gt;"",S151-P151,TODAY()-P151)))</x:f>
      </x:c>
    </x:row>
    <x:row r="152" ht="28" customHeight="1">
      <x:c r="A152" s="92"/>
      <x:c r="B152" s="95"/>
      <x:c r="C152" s="92"/>
      <x:c r="D152" s="92"/>
      <x:c r="E152" s="92"/>
      <x:c r="F152" s="92"/>
      <x:c r="G152" s="92"/>
      <x:c r="H152" s="92"/>
      <x:c r="I152" s="101"/>
      <x:c r="J152" s="107"/>
      <x:c r="K152" s="110" t="str">
        <x:f>IF(A152="","",IFERROR(VLOOKUP(C152,'Cấu hình'!$A$12:$D$19,2,FALSE),0))</x:f>
      </x:c>
      <x:c r="L152" s="92"/>
      <x:c r="M152" s="92"/>
      <x:c r="N152" s="95"/>
      <x:c r="O152" s="101"/>
      <x:c r="P152" s="101"/>
      <x:c r="Q152" s="101"/>
      <x:c r="R152" s="104" t="str">
        <x:f>IF(OR(P152="",D152=""),"",P152+IFERROR(VLOOKUP(D152,'Cấu hình'!$E$12:$G$15,3,FALSE),0))</x:f>
      </x:c>
      <x:c r="S152" s="101"/>
      <x:c r="T152" s="107"/>
      <x:c r="U152" s="113" t="str">
        <x:f>IF(A152="","",IF(S152&lt;&gt;"",0,IF(I152&lt;&gt;"",I152-TODAY(),IF(R152&lt;&gt;"",R152-TODAY(),""))))</x:f>
      </x:c>
      <x:c r="V152" s="113" t="str">
        <x:f>IF(A152="","",IF(S152&lt;&gt;"",MAX(0,S152-IF(I152&lt;&gt;"",I152,R152)),IF(OR(I152&lt;&gt;"",R152&lt;&gt;""),MAX(0,TODAY()-IF(I152&lt;&gt;"",I152,R152)),0)))</x:f>
      </x:c>
      <x:c r="W152" s="95"/>
      <x:c r="X152" s="95"/>
      <x:c r="Y152" s="92"/>
      <x:c r="Z152" s="92"/>
      <x:c r="AA152" s="92"/>
      <x:c r="AB152" s="92"/>
      <x:c r="AC152" s="113" t="str">
        <x:f>IF(A152="","",IF(P152="","",IF(S152&lt;&gt;"",S152-P152,TODAY()-P152)))</x:f>
      </x:c>
    </x:row>
    <x:row r="153" ht="28" customHeight="1">
      <x:c r="A153" s="92"/>
      <x:c r="B153" s="95"/>
      <x:c r="C153" s="92"/>
      <x:c r="D153" s="92"/>
      <x:c r="E153" s="92"/>
      <x:c r="F153" s="92"/>
      <x:c r="G153" s="92"/>
      <x:c r="H153" s="92"/>
      <x:c r="I153" s="101"/>
      <x:c r="J153" s="107"/>
      <x:c r="K153" s="110" t="str">
        <x:f>IF(A153="","",IFERROR(VLOOKUP(C153,'Cấu hình'!$A$12:$D$19,2,FALSE),0))</x:f>
      </x:c>
      <x:c r="L153" s="92"/>
      <x:c r="M153" s="92"/>
      <x:c r="N153" s="95"/>
      <x:c r="O153" s="101"/>
      <x:c r="P153" s="101"/>
      <x:c r="Q153" s="101"/>
      <x:c r="R153" s="104" t="str">
        <x:f>IF(OR(P153="",D153=""),"",P153+IFERROR(VLOOKUP(D153,'Cấu hình'!$E$12:$G$15,3,FALSE),0))</x:f>
      </x:c>
      <x:c r="S153" s="101"/>
      <x:c r="T153" s="107"/>
      <x:c r="U153" s="113" t="str">
        <x:f>IF(A153="","",IF(S153&lt;&gt;"",0,IF(I153&lt;&gt;"",I153-TODAY(),IF(R153&lt;&gt;"",R153-TODAY(),""))))</x:f>
      </x:c>
      <x:c r="V153" s="113" t="str">
        <x:f>IF(A153="","",IF(S153&lt;&gt;"",MAX(0,S153-IF(I153&lt;&gt;"",I153,R153)),IF(OR(I153&lt;&gt;"",R153&lt;&gt;""),MAX(0,TODAY()-IF(I153&lt;&gt;"",I153,R153)),0)))</x:f>
      </x:c>
      <x:c r="W153" s="95"/>
      <x:c r="X153" s="95"/>
      <x:c r="Y153" s="92"/>
      <x:c r="Z153" s="92"/>
      <x:c r="AA153" s="92"/>
      <x:c r="AB153" s="92"/>
      <x:c r="AC153" s="113" t="str">
        <x:f>IF(A153="","",IF(P153="","",IF(S153&lt;&gt;"",S153-P153,TODAY()-P153)))</x:f>
      </x:c>
    </x:row>
    <x:row r="154" ht="28" customHeight="1">
      <x:c r="A154" s="92"/>
      <x:c r="B154" s="95"/>
      <x:c r="C154" s="92"/>
      <x:c r="D154" s="92"/>
      <x:c r="E154" s="92"/>
      <x:c r="F154" s="92"/>
      <x:c r="G154" s="92"/>
      <x:c r="H154" s="92"/>
      <x:c r="I154" s="101"/>
      <x:c r="J154" s="107"/>
      <x:c r="K154" s="110" t="str">
        <x:f>IF(A154="","",IFERROR(VLOOKUP(C154,'Cấu hình'!$A$12:$D$19,2,FALSE),0))</x:f>
      </x:c>
      <x:c r="L154" s="92"/>
      <x:c r="M154" s="92"/>
      <x:c r="N154" s="95"/>
      <x:c r="O154" s="101"/>
      <x:c r="P154" s="101"/>
      <x:c r="Q154" s="101"/>
      <x:c r="R154" s="104" t="str">
        <x:f>IF(OR(P154="",D154=""),"",P154+IFERROR(VLOOKUP(D154,'Cấu hình'!$E$12:$G$15,3,FALSE),0))</x:f>
      </x:c>
      <x:c r="S154" s="101"/>
      <x:c r="T154" s="107"/>
      <x:c r="U154" s="113" t="str">
        <x:f>IF(A154="","",IF(S154&lt;&gt;"",0,IF(I154&lt;&gt;"",I154-TODAY(),IF(R154&lt;&gt;"",R154-TODAY(),""))))</x:f>
      </x:c>
      <x:c r="V154" s="113" t="str">
        <x:f>IF(A154="","",IF(S154&lt;&gt;"",MAX(0,S154-IF(I154&lt;&gt;"",I154,R154)),IF(OR(I154&lt;&gt;"",R154&lt;&gt;""),MAX(0,TODAY()-IF(I154&lt;&gt;"",I154,R154)),0)))</x:f>
      </x:c>
      <x:c r="W154" s="95"/>
      <x:c r="X154" s="95"/>
      <x:c r="Y154" s="92"/>
      <x:c r="Z154" s="92"/>
      <x:c r="AA154" s="92"/>
      <x:c r="AB154" s="92"/>
      <x:c r="AC154" s="113" t="str">
        <x:f>IF(A154="","",IF(P154="","",IF(S154&lt;&gt;"",S154-P154,TODAY()-P154)))</x:f>
      </x:c>
    </x:row>
    <x:row r="155" ht="28" customHeight="1">
      <x:c r="A155" s="92"/>
      <x:c r="B155" s="95"/>
      <x:c r="C155" s="92"/>
      <x:c r="D155" s="92"/>
      <x:c r="E155" s="92"/>
      <x:c r="F155" s="92"/>
      <x:c r="G155" s="92"/>
      <x:c r="H155" s="92"/>
      <x:c r="I155" s="101"/>
      <x:c r="J155" s="107"/>
      <x:c r="K155" s="110" t="str">
        <x:f>IF(A155="","",IFERROR(VLOOKUP(C155,'Cấu hình'!$A$12:$D$19,2,FALSE),0))</x:f>
      </x:c>
      <x:c r="L155" s="92"/>
      <x:c r="M155" s="92"/>
      <x:c r="N155" s="95"/>
      <x:c r="O155" s="101"/>
      <x:c r="P155" s="101"/>
      <x:c r="Q155" s="101"/>
      <x:c r="R155" s="104" t="str">
        <x:f>IF(OR(P155="",D155=""),"",P155+IFERROR(VLOOKUP(D155,'Cấu hình'!$E$12:$G$15,3,FALSE),0))</x:f>
      </x:c>
      <x:c r="S155" s="101"/>
      <x:c r="T155" s="107"/>
      <x:c r="U155" s="113" t="str">
        <x:f>IF(A155="","",IF(S155&lt;&gt;"",0,IF(I155&lt;&gt;"",I155-TODAY(),IF(R155&lt;&gt;"",R155-TODAY(),""))))</x:f>
      </x:c>
      <x:c r="V155" s="113" t="str">
        <x:f>IF(A155="","",IF(S155&lt;&gt;"",MAX(0,S155-IF(I155&lt;&gt;"",I155,R155)),IF(OR(I155&lt;&gt;"",R155&lt;&gt;""),MAX(0,TODAY()-IF(I155&lt;&gt;"",I155,R155)),0)))</x:f>
      </x:c>
      <x:c r="W155" s="95"/>
      <x:c r="X155" s="95"/>
      <x:c r="Y155" s="92"/>
      <x:c r="Z155" s="92"/>
      <x:c r="AA155" s="92"/>
      <x:c r="AB155" s="92"/>
      <x:c r="AC155" s="113" t="str">
        <x:f>IF(A155="","",IF(P155="","",IF(S155&lt;&gt;"",S155-P155,TODAY()-P155)))</x:f>
      </x:c>
    </x:row>
    <x:row r="156" ht="28" customHeight="1">
      <x:c r="A156" s="92"/>
      <x:c r="B156" s="95"/>
      <x:c r="C156" s="92"/>
      <x:c r="D156" s="92"/>
      <x:c r="E156" s="92"/>
      <x:c r="F156" s="92"/>
      <x:c r="G156" s="92"/>
      <x:c r="H156" s="92"/>
      <x:c r="I156" s="101"/>
      <x:c r="J156" s="107"/>
      <x:c r="K156" s="110" t="str">
        <x:f>IF(A156="","",IFERROR(VLOOKUP(C156,'Cấu hình'!$A$12:$D$19,2,FALSE),0))</x:f>
      </x:c>
      <x:c r="L156" s="92"/>
      <x:c r="M156" s="92"/>
      <x:c r="N156" s="95"/>
      <x:c r="O156" s="101"/>
      <x:c r="P156" s="101"/>
      <x:c r="Q156" s="101"/>
      <x:c r="R156" s="104" t="str">
        <x:f>IF(OR(P156="",D156=""),"",P156+IFERROR(VLOOKUP(D156,'Cấu hình'!$E$12:$G$15,3,FALSE),0))</x:f>
      </x:c>
      <x:c r="S156" s="101"/>
      <x:c r="T156" s="107"/>
      <x:c r="U156" s="113" t="str">
        <x:f>IF(A156="","",IF(S156&lt;&gt;"",0,IF(I156&lt;&gt;"",I156-TODAY(),IF(R156&lt;&gt;"",R156-TODAY(),""))))</x:f>
      </x:c>
      <x:c r="V156" s="113" t="str">
        <x:f>IF(A156="","",IF(S156&lt;&gt;"",MAX(0,S156-IF(I156&lt;&gt;"",I156,R156)),IF(OR(I156&lt;&gt;"",R156&lt;&gt;""),MAX(0,TODAY()-IF(I156&lt;&gt;"",I156,R156)),0)))</x:f>
      </x:c>
      <x:c r="W156" s="95"/>
      <x:c r="X156" s="95"/>
      <x:c r="Y156" s="92"/>
      <x:c r="Z156" s="92"/>
      <x:c r="AA156" s="92"/>
      <x:c r="AB156" s="92"/>
      <x:c r="AC156" s="113" t="str">
        <x:f>IF(A156="","",IF(P156="","",IF(S156&lt;&gt;"",S156-P156,TODAY()-P156)))</x:f>
      </x:c>
    </x:row>
    <x:row r="157" ht="28" customHeight="1">
      <x:c r="A157" s="92"/>
      <x:c r="B157" s="95"/>
      <x:c r="C157" s="92"/>
      <x:c r="D157" s="92"/>
      <x:c r="E157" s="92"/>
      <x:c r="F157" s="92"/>
      <x:c r="G157" s="92"/>
      <x:c r="H157" s="92"/>
      <x:c r="I157" s="101"/>
      <x:c r="J157" s="107"/>
      <x:c r="K157" s="110" t="str">
        <x:f>IF(A157="","",IFERROR(VLOOKUP(C157,'Cấu hình'!$A$12:$D$19,2,FALSE),0))</x:f>
      </x:c>
      <x:c r="L157" s="92"/>
      <x:c r="M157" s="92"/>
      <x:c r="N157" s="95"/>
      <x:c r="O157" s="101"/>
      <x:c r="P157" s="101"/>
      <x:c r="Q157" s="101"/>
      <x:c r="R157" s="104" t="str">
        <x:f>IF(OR(P157="",D157=""),"",P157+IFERROR(VLOOKUP(D157,'Cấu hình'!$E$12:$G$15,3,FALSE),0))</x:f>
      </x:c>
      <x:c r="S157" s="101"/>
      <x:c r="T157" s="107"/>
      <x:c r="U157" s="113" t="str">
        <x:f>IF(A157="","",IF(S157&lt;&gt;"",0,IF(I157&lt;&gt;"",I157-TODAY(),IF(R157&lt;&gt;"",R157-TODAY(),""))))</x:f>
      </x:c>
      <x:c r="V157" s="113" t="str">
        <x:f>IF(A157="","",IF(S157&lt;&gt;"",MAX(0,S157-IF(I157&lt;&gt;"",I157,R157)),IF(OR(I157&lt;&gt;"",R157&lt;&gt;""),MAX(0,TODAY()-IF(I157&lt;&gt;"",I157,R157)),0)))</x:f>
      </x:c>
      <x:c r="W157" s="95"/>
      <x:c r="X157" s="95"/>
      <x:c r="Y157" s="92"/>
      <x:c r="Z157" s="92"/>
      <x:c r="AA157" s="92"/>
      <x:c r="AB157" s="92"/>
      <x:c r="AC157" s="113" t="str">
        <x:f>IF(A157="","",IF(P157="","",IF(S157&lt;&gt;"",S157-P157,TODAY()-P157)))</x:f>
      </x:c>
    </x:row>
    <x:row r="158" ht="28" customHeight="1">
      <x:c r="A158" s="92"/>
      <x:c r="B158" s="95"/>
      <x:c r="C158" s="92"/>
      <x:c r="D158" s="92"/>
      <x:c r="E158" s="92"/>
      <x:c r="F158" s="92"/>
      <x:c r="G158" s="92"/>
      <x:c r="H158" s="92"/>
      <x:c r="I158" s="101"/>
      <x:c r="J158" s="107"/>
      <x:c r="K158" s="110" t="str">
        <x:f>IF(A158="","",IFERROR(VLOOKUP(C158,'Cấu hình'!$A$12:$D$19,2,FALSE),0))</x:f>
      </x:c>
      <x:c r="L158" s="92"/>
      <x:c r="M158" s="92"/>
      <x:c r="N158" s="95"/>
      <x:c r="O158" s="101"/>
      <x:c r="P158" s="101"/>
      <x:c r="Q158" s="101"/>
      <x:c r="R158" s="104" t="str">
        <x:f>IF(OR(P158="",D158=""),"",P158+IFERROR(VLOOKUP(D158,'Cấu hình'!$E$12:$G$15,3,FALSE),0))</x:f>
      </x:c>
      <x:c r="S158" s="101"/>
      <x:c r="T158" s="107"/>
      <x:c r="U158" s="113" t="str">
        <x:f>IF(A158="","",IF(S158&lt;&gt;"",0,IF(I158&lt;&gt;"",I158-TODAY(),IF(R158&lt;&gt;"",R158-TODAY(),""))))</x:f>
      </x:c>
      <x:c r="V158" s="113" t="str">
        <x:f>IF(A158="","",IF(S158&lt;&gt;"",MAX(0,S158-IF(I158&lt;&gt;"",I158,R158)),IF(OR(I158&lt;&gt;"",R158&lt;&gt;""),MAX(0,TODAY()-IF(I158&lt;&gt;"",I158,R158)),0)))</x:f>
      </x:c>
      <x:c r="W158" s="95"/>
      <x:c r="X158" s="95"/>
      <x:c r="Y158" s="92"/>
      <x:c r="Z158" s="92"/>
      <x:c r="AA158" s="92"/>
      <x:c r="AB158" s="92"/>
      <x:c r="AC158" s="113" t="str">
        <x:f>IF(A158="","",IF(P158="","",IF(S158&lt;&gt;"",S158-P158,TODAY()-P158)))</x:f>
      </x:c>
    </x:row>
    <x:row r="159" ht="28" customHeight="1">
      <x:c r="A159" s="92"/>
      <x:c r="B159" s="95"/>
      <x:c r="C159" s="92"/>
      <x:c r="D159" s="92"/>
      <x:c r="E159" s="92"/>
      <x:c r="F159" s="92"/>
      <x:c r="G159" s="92"/>
      <x:c r="H159" s="92"/>
      <x:c r="I159" s="101"/>
      <x:c r="J159" s="107"/>
      <x:c r="K159" s="110" t="str">
        <x:f>IF(A159="","",IFERROR(VLOOKUP(C159,'Cấu hình'!$A$12:$D$19,2,FALSE),0))</x:f>
      </x:c>
      <x:c r="L159" s="92"/>
      <x:c r="M159" s="92"/>
      <x:c r="N159" s="95"/>
      <x:c r="O159" s="101"/>
      <x:c r="P159" s="101"/>
      <x:c r="Q159" s="101"/>
      <x:c r="R159" s="104" t="str">
        <x:f>IF(OR(P159="",D159=""),"",P159+IFERROR(VLOOKUP(D159,'Cấu hình'!$E$12:$G$15,3,FALSE),0))</x:f>
      </x:c>
      <x:c r="S159" s="101"/>
      <x:c r="T159" s="107"/>
      <x:c r="U159" s="113" t="str">
        <x:f>IF(A159="","",IF(S159&lt;&gt;"",0,IF(I159&lt;&gt;"",I159-TODAY(),IF(R159&lt;&gt;"",R159-TODAY(),""))))</x:f>
      </x:c>
      <x:c r="V159" s="113" t="str">
        <x:f>IF(A159="","",IF(S159&lt;&gt;"",MAX(0,S159-IF(I159&lt;&gt;"",I159,R159)),IF(OR(I159&lt;&gt;"",R159&lt;&gt;""),MAX(0,TODAY()-IF(I159&lt;&gt;"",I159,R159)),0)))</x:f>
      </x:c>
      <x:c r="W159" s="95"/>
      <x:c r="X159" s="95"/>
      <x:c r="Y159" s="92"/>
      <x:c r="Z159" s="92"/>
      <x:c r="AA159" s="92"/>
      <x:c r="AB159" s="92"/>
      <x:c r="AC159" s="113" t="str">
        <x:f>IF(A159="","",IF(P159="","",IF(S159&lt;&gt;"",S159-P159,TODAY()-P159)))</x:f>
      </x:c>
    </x:row>
    <x:row r="160" ht="28" customHeight="1">
      <x:c r="A160" s="92"/>
      <x:c r="B160" s="95"/>
      <x:c r="C160" s="92"/>
      <x:c r="D160" s="92"/>
      <x:c r="E160" s="92"/>
      <x:c r="F160" s="92"/>
      <x:c r="G160" s="92"/>
      <x:c r="H160" s="92"/>
      <x:c r="I160" s="101"/>
      <x:c r="J160" s="107"/>
      <x:c r="K160" s="110" t="str">
        <x:f>IF(A160="","",IFERROR(VLOOKUP(C160,'Cấu hình'!$A$12:$D$19,2,FALSE),0))</x:f>
      </x:c>
      <x:c r="L160" s="92"/>
      <x:c r="M160" s="92"/>
      <x:c r="N160" s="95"/>
      <x:c r="O160" s="101"/>
      <x:c r="P160" s="101"/>
      <x:c r="Q160" s="101"/>
      <x:c r="R160" s="104" t="str">
        <x:f>IF(OR(P160="",D160=""),"",P160+IFERROR(VLOOKUP(D160,'Cấu hình'!$E$12:$G$15,3,FALSE),0))</x:f>
      </x:c>
      <x:c r="S160" s="101"/>
      <x:c r="T160" s="107"/>
      <x:c r="U160" s="113" t="str">
        <x:f>IF(A160="","",IF(S160&lt;&gt;"",0,IF(I160&lt;&gt;"",I160-TODAY(),IF(R160&lt;&gt;"",R160-TODAY(),""))))</x:f>
      </x:c>
      <x:c r="V160" s="113" t="str">
        <x:f>IF(A160="","",IF(S160&lt;&gt;"",MAX(0,S160-IF(I160&lt;&gt;"",I160,R160)),IF(OR(I160&lt;&gt;"",R160&lt;&gt;""),MAX(0,TODAY()-IF(I160&lt;&gt;"",I160,R160)),0)))</x:f>
      </x:c>
      <x:c r="W160" s="95"/>
      <x:c r="X160" s="95"/>
      <x:c r="Y160" s="92"/>
      <x:c r="Z160" s="92"/>
      <x:c r="AA160" s="92"/>
      <x:c r="AB160" s="92"/>
      <x:c r="AC160" s="113" t="str">
        <x:f>IF(A160="","",IF(P160="","",IF(S160&lt;&gt;"",S160-P160,TODAY()-P160)))</x:f>
      </x:c>
    </x:row>
    <x:row r="161" ht="28" customHeight="1">
      <x:c r="A161" s="92"/>
      <x:c r="B161" s="95"/>
      <x:c r="C161" s="92"/>
      <x:c r="D161" s="92"/>
      <x:c r="E161" s="92"/>
      <x:c r="F161" s="92"/>
      <x:c r="G161" s="92"/>
      <x:c r="H161" s="92"/>
      <x:c r="I161" s="101"/>
      <x:c r="J161" s="107"/>
      <x:c r="K161" s="110" t="str">
        <x:f>IF(A161="","",IFERROR(VLOOKUP(C161,'Cấu hình'!$A$12:$D$19,2,FALSE),0))</x:f>
      </x:c>
      <x:c r="L161" s="92"/>
      <x:c r="M161" s="92"/>
      <x:c r="N161" s="95"/>
      <x:c r="O161" s="101"/>
      <x:c r="P161" s="101"/>
      <x:c r="Q161" s="101"/>
      <x:c r="R161" s="104" t="str">
        <x:f>IF(OR(P161="",D161=""),"",P161+IFERROR(VLOOKUP(D161,'Cấu hình'!$E$12:$G$15,3,FALSE),0))</x:f>
      </x:c>
      <x:c r="S161" s="101"/>
      <x:c r="T161" s="107"/>
      <x:c r="U161" s="113" t="str">
        <x:f>IF(A161="","",IF(S161&lt;&gt;"",0,IF(I161&lt;&gt;"",I161-TODAY(),IF(R161&lt;&gt;"",R161-TODAY(),""))))</x:f>
      </x:c>
      <x:c r="V161" s="113" t="str">
        <x:f>IF(A161="","",IF(S161&lt;&gt;"",MAX(0,S161-IF(I161&lt;&gt;"",I161,R161)),IF(OR(I161&lt;&gt;"",R161&lt;&gt;""),MAX(0,TODAY()-IF(I161&lt;&gt;"",I161,R161)),0)))</x:f>
      </x:c>
      <x:c r="W161" s="95"/>
      <x:c r="X161" s="95"/>
      <x:c r="Y161" s="92"/>
      <x:c r="Z161" s="92"/>
      <x:c r="AA161" s="92"/>
      <x:c r="AB161" s="92"/>
      <x:c r="AC161" s="113" t="str">
        <x:f>IF(A161="","",IF(P161="","",IF(S161&lt;&gt;"",S161-P161,TODAY()-P161)))</x:f>
      </x:c>
    </x:row>
    <x:row r="162" ht="28" customHeight="1">
      <x:c r="A162" s="92"/>
      <x:c r="B162" s="95"/>
      <x:c r="C162" s="92"/>
      <x:c r="D162" s="92"/>
      <x:c r="E162" s="92"/>
      <x:c r="F162" s="92"/>
      <x:c r="G162" s="92"/>
      <x:c r="H162" s="92"/>
      <x:c r="I162" s="101"/>
      <x:c r="J162" s="107"/>
      <x:c r="K162" s="110" t="str">
        <x:f>IF(A162="","",IFERROR(VLOOKUP(C162,'Cấu hình'!$A$12:$D$19,2,FALSE),0))</x:f>
      </x:c>
      <x:c r="L162" s="92"/>
      <x:c r="M162" s="92"/>
      <x:c r="N162" s="95"/>
      <x:c r="O162" s="101"/>
      <x:c r="P162" s="101"/>
      <x:c r="Q162" s="101"/>
      <x:c r="R162" s="104" t="str">
        <x:f>IF(OR(P162="",D162=""),"",P162+IFERROR(VLOOKUP(D162,'Cấu hình'!$E$12:$G$15,3,FALSE),0))</x:f>
      </x:c>
      <x:c r="S162" s="101"/>
      <x:c r="T162" s="107"/>
      <x:c r="U162" s="113" t="str">
        <x:f>IF(A162="","",IF(S162&lt;&gt;"",0,IF(I162&lt;&gt;"",I162-TODAY(),IF(R162&lt;&gt;"",R162-TODAY(),""))))</x:f>
      </x:c>
      <x:c r="V162" s="113" t="str">
        <x:f>IF(A162="","",IF(S162&lt;&gt;"",MAX(0,S162-IF(I162&lt;&gt;"",I162,R162)),IF(OR(I162&lt;&gt;"",R162&lt;&gt;""),MAX(0,TODAY()-IF(I162&lt;&gt;"",I162,R162)),0)))</x:f>
      </x:c>
      <x:c r="W162" s="95"/>
      <x:c r="X162" s="95"/>
      <x:c r="Y162" s="92"/>
      <x:c r="Z162" s="92"/>
      <x:c r="AA162" s="92"/>
      <x:c r="AB162" s="92"/>
      <x:c r="AC162" s="113" t="str">
        <x:f>IF(A162="","",IF(P162="","",IF(S162&lt;&gt;"",S162-P162,TODAY()-P162)))</x:f>
      </x:c>
    </x:row>
    <x:row r="163" ht="28" customHeight="1">
      <x:c r="A163" s="92"/>
      <x:c r="B163" s="95"/>
      <x:c r="C163" s="92"/>
      <x:c r="D163" s="92"/>
      <x:c r="E163" s="92"/>
      <x:c r="F163" s="92"/>
      <x:c r="G163" s="92"/>
      <x:c r="H163" s="92"/>
      <x:c r="I163" s="101"/>
      <x:c r="J163" s="107"/>
      <x:c r="K163" s="110" t="str">
        <x:f>IF(A163="","",IFERROR(VLOOKUP(C163,'Cấu hình'!$A$12:$D$19,2,FALSE),0))</x:f>
      </x:c>
      <x:c r="L163" s="92"/>
      <x:c r="M163" s="92"/>
      <x:c r="N163" s="95"/>
      <x:c r="O163" s="101"/>
      <x:c r="P163" s="101"/>
      <x:c r="Q163" s="101"/>
      <x:c r="R163" s="104" t="str">
        <x:f>IF(OR(P163="",D163=""),"",P163+IFERROR(VLOOKUP(D163,'Cấu hình'!$E$12:$G$15,3,FALSE),0))</x:f>
      </x:c>
      <x:c r="S163" s="101"/>
      <x:c r="T163" s="107"/>
      <x:c r="U163" s="113" t="str">
        <x:f>IF(A163="","",IF(S163&lt;&gt;"",0,IF(I163&lt;&gt;"",I163-TODAY(),IF(R163&lt;&gt;"",R163-TODAY(),""))))</x:f>
      </x:c>
      <x:c r="V163" s="113" t="str">
        <x:f>IF(A163="","",IF(S163&lt;&gt;"",MAX(0,S163-IF(I163&lt;&gt;"",I163,R163)),IF(OR(I163&lt;&gt;"",R163&lt;&gt;""),MAX(0,TODAY()-IF(I163&lt;&gt;"",I163,R163)),0)))</x:f>
      </x:c>
      <x:c r="W163" s="95"/>
      <x:c r="X163" s="95"/>
      <x:c r="Y163" s="92"/>
      <x:c r="Z163" s="92"/>
      <x:c r="AA163" s="92"/>
      <x:c r="AB163" s="92"/>
      <x:c r="AC163" s="113" t="str">
        <x:f>IF(A163="","",IF(P163="","",IF(S163&lt;&gt;"",S163-P163,TODAY()-P163)))</x:f>
      </x:c>
    </x:row>
    <x:row r="164" ht="28" customHeight="1">
      <x:c r="A164" s="92"/>
      <x:c r="B164" s="95"/>
      <x:c r="C164" s="92"/>
      <x:c r="D164" s="92"/>
      <x:c r="E164" s="92"/>
      <x:c r="F164" s="92"/>
      <x:c r="G164" s="92"/>
      <x:c r="H164" s="92"/>
      <x:c r="I164" s="101"/>
      <x:c r="J164" s="107"/>
      <x:c r="K164" s="110" t="str">
        <x:f>IF(A164="","",IFERROR(VLOOKUP(C164,'Cấu hình'!$A$12:$D$19,2,FALSE),0))</x:f>
      </x:c>
      <x:c r="L164" s="92"/>
      <x:c r="M164" s="92"/>
      <x:c r="N164" s="95"/>
      <x:c r="O164" s="101"/>
      <x:c r="P164" s="101"/>
      <x:c r="Q164" s="101"/>
      <x:c r="R164" s="104" t="str">
        <x:f>IF(OR(P164="",D164=""),"",P164+IFERROR(VLOOKUP(D164,'Cấu hình'!$E$12:$G$15,3,FALSE),0))</x:f>
      </x:c>
      <x:c r="S164" s="101"/>
      <x:c r="T164" s="107"/>
      <x:c r="U164" s="113" t="str">
        <x:f>IF(A164="","",IF(S164&lt;&gt;"",0,IF(I164&lt;&gt;"",I164-TODAY(),IF(R164&lt;&gt;"",R164-TODAY(),""))))</x:f>
      </x:c>
      <x:c r="V164" s="113" t="str">
        <x:f>IF(A164="","",IF(S164&lt;&gt;"",MAX(0,S164-IF(I164&lt;&gt;"",I164,R164)),IF(OR(I164&lt;&gt;"",R164&lt;&gt;""),MAX(0,TODAY()-IF(I164&lt;&gt;"",I164,R164)),0)))</x:f>
      </x:c>
      <x:c r="W164" s="95"/>
      <x:c r="X164" s="95"/>
      <x:c r="Y164" s="92"/>
      <x:c r="Z164" s="92"/>
      <x:c r="AA164" s="92"/>
      <x:c r="AB164" s="92"/>
      <x:c r="AC164" s="113" t="str">
        <x:f>IF(A164="","",IF(P164="","",IF(S164&lt;&gt;"",S164-P164,TODAY()-P164)))</x:f>
      </x:c>
    </x:row>
    <x:row r="165" ht="28" customHeight="1">
      <x:c r="A165" s="92"/>
      <x:c r="B165" s="95"/>
      <x:c r="C165" s="92"/>
      <x:c r="D165" s="92"/>
      <x:c r="E165" s="92"/>
      <x:c r="F165" s="92"/>
      <x:c r="G165" s="92"/>
      <x:c r="H165" s="92"/>
      <x:c r="I165" s="101"/>
      <x:c r="J165" s="107"/>
      <x:c r="K165" s="110" t="str">
        <x:f>IF(A165="","",IFERROR(VLOOKUP(C165,'Cấu hình'!$A$12:$D$19,2,FALSE),0))</x:f>
      </x:c>
      <x:c r="L165" s="92"/>
      <x:c r="M165" s="92"/>
      <x:c r="N165" s="95"/>
      <x:c r="O165" s="101"/>
      <x:c r="P165" s="101"/>
      <x:c r="Q165" s="101"/>
      <x:c r="R165" s="104" t="str">
        <x:f>IF(OR(P165="",D165=""),"",P165+IFERROR(VLOOKUP(D165,'Cấu hình'!$E$12:$G$15,3,FALSE),0))</x:f>
      </x:c>
      <x:c r="S165" s="101"/>
      <x:c r="T165" s="107"/>
      <x:c r="U165" s="113" t="str">
        <x:f>IF(A165="","",IF(S165&lt;&gt;"",0,IF(I165&lt;&gt;"",I165-TODAY(),IF(R165&lt;&gt;"",R165-TODAY(),""))))</x:f>
      </x:c>
      <x:c r="V165" s="113" t="str">
        <x:f>IF(A165="","",IF(S165&lt;&gt;"",MAX(0,S165-IF(I165&lt;&gt;"",I165,R165)),IF(OR(I165&lt;&gt;"",R165&lt;&gt;""),MAX(0,TODAY()-IF(I165&lt;&gt;"",I165,R165)),0)))</x:f>
      </x:c>
      <x:c r="W165" s="95"/>
      <x:c r="X165" s="95"/>
      <x:c r="Y165" s="92"/>
      <x:c r="Z165" s="92"/>
      <x:c r="AA165" s="92"/>
      <x:c r="AB165" s="92"/>
      <x:c r="AC165" s="113" t="str">
        <x:f>IF(A165="","",IF(P165="","",IF(S165&lt;&gt;"",S165-P165,TODAY()-P165)))</x:f>
      </x:c>
    </x:row>
    <x:row r="166" ht="28" customHeight="1">
      <x:c r="A166" s="92"/>
      <x:c r="B166" s="95"/>
      <x:c r="C166" s="92"/>
      <x:c r="D166" s="92"/>
      <x:c r="E166" s="92"/>
      <x:c r="F166" s="92"/>
      <x:c r="G166" s="92"/>
      <x:c r="H166" s="92"/>
      <x:c r="I166" s="101"/>
      <x:c r="J166" s="107"/>
      <x:c r="K166" s="110" t="str">
        <x:f>IF(A166="","",IFERROR(VLOOKUP(C166,'Cấu hình'!$A$12:$D$19,2,FALSE),0))</x:f>
      </x:c>
      <x:c r="L166" s="92"/>
      <x:c r="M166" s="92"/>
      <x:c r="N166" s="95"/>
      <x:c r="O166" s="101"/>
      <x:c r="P166" s="101"/>
      <x:c r="Q166" s="101"/>
      <x:c r="R166" s="104" t="str">
        <x:f>IF(OR(P166="",D166=""),"",P166+IFERROR(VLOOKUP(D166,'Cấu hình'!$E$12:$G$15,3,FALSE),0))</x:f>
      </x:c>
      <x:c r="S166" s="101"/>
      <x:c r="T166" s="107"/>
      <x:c r="U166" s="113" t="str">
        <x:f>IF(A166="","",IF(S166&lt;&gt;"",0,IF(I166&lt;&gt;"",I166-TODAY(),IF(R166&lt;&gt;"",R166-TODAY(),""))))</x:f>
      </x:c>
      <x:c r="V166" s="113" t="str">
        <x:f>IF(A166="","",IF(S166&lt;&gt;"",MAX(0,S166-IF(I166&lt;&gt;"",I166,R166)),IF(OR(I166&lt;&gt;"",R166&lt;&gt;""),MAX(0,TODAY()-IF(I166&lt;&gt;"",I166,R166)),0)))</x:f>
      </x:c>
      <x:c r="W166" s="95"/>
      <x:c r="X166" s="95"/>
      <x:c r="Y166" s="92"/>
      <x:c r="Z166" s="92"/>
      <x:c r="AA166" s="92"/>
      <x:c r="AB166" s="92"/>
      <x:c r="AC166" s="113" t="str">
        <x:f>IF(A166="","",IF(P166="","",IF(S166&lt;&gt;"",S166-P166,TODAY()-P166)))</x:f>
      </x:c>
    </x:row>
    <x:row r="167" ht="28" customHeight="1">
      <x:c r="A167" s="92"/>
      <x:c r="B167" s="95"/>
      <x:c r="C167" s="92"/>
      <x:c r="D167" s="92"/>
      <x:c r="E167" s="92"/>
      <x:c r="F167" s="92"/>
      <x:c r="G167" s="92"/>
      <x:c r="H167" s="92"/>
      <x:c r="I167" s="101"/>
      <x:c r="J167" s="107"/>
      <x:c r="K167" s="110" t="str">
        <x:f>IF(A167="","",IFERROR(VLOOKUP(C167,'Cấu hình'!$A$12:$D$19,2,FALSE),0))</x:f>
      </x:c>
      <x:c r="L167" s="92"/>
      <x:c r="M167" s="92"/>
      <x:c r="N167" s="95"/>
      <x:c r="O167" s="101"/>
      <x:c r="P167" s="101"/>
      <x:c r="Q167" s="101"/>
      <x:c r="R167" s="104" t="str">
        <x:f>IF(OR(P167="",D167=""),"",P167+IFERROR(VLOOKUP(D167,'Cấu hình'!$E$12:$G$15,3,FALSE),0))</x:f>
      </x:c>
      <x:c r="S167" s="101"/>
      <x:c r="T167" s="107"/>
      <x:c r="U167" s="113" t="str">
        <x:f>IF(A167="","",IF(S167&lt;&gt;"",0,IF(I167&lt;&gt;"",I167-TODAY(),IF(R167&lt;&gt;"",R167-TODAY(),""))))</x:f>
      </x:c>
      <x:c r="V167" s="113" t="str">
        <x:f>IF(A167="","",IF(S167&lt;&gt;"",MAX(0,S167-IF(I167&lt;&gt;"",I167,R167)),IF(OR(I167&lt;&gt;"",R167&lt;&gt;""),MAX(0,TODAY()-IF(I167&lt;&gt;"",I167,R167)),0)))</x:f>
      </x:c>
      <x:c r="W167" s="95"/>
      <x:c r="X167" s="95"/>
      <x:c r="Y167" s="92"/>
      <x:c r="Z167" s="92"/>
      <x:c r="AA167" s="92"/>
      <x:c r="AB167" s="92"/>
      <x:c r="AC167" s="113" t="str">
        <x:f>IF(A167="","",IF(P167="","",IF(S167&lt;&gt;"",S167-P167,TODAY()-P167)))</x:f>
      </x:c>
    </x:row>
    <x:row r="168" ht="28" customHeight="1">
      <x:c r="A168" s="92"/>
      <x:c r="B168" s="95"/>
      <x:c r="C168" s="92"/>
      <x:c r="D168" s="92"/>
      <x:c r="E168" s="92"/>
      <x:c r="F168" s="92"/>
      <x:c r="G168" s="92"/>
      <x:c r="H168" s="92"/>
      <x:c r="I168" s="101"/>
      <x:c r="J168" s="107"/>
      <x:c r="K168" s="110" t="str">
        <x:f>IF(A168="","",IFERROR(VLOOKUP(C168,'Cấu hình'!$A$12:$D$19,2,FALSE),0))</x:f>
      </x:c>
      <x:c r="L168" s="92"/>
      <x:c r="M168" s="92"/>
      <x:c r="N168" s="95"/>
      <x:c r="O168" s="101"/>
      <x:c r="P168" s="101"/>
      <x:c r="Q168" s="101"/>
      <x:c r="R168" s="104" t="str">
        <x:f>IF(OR(P168="",D168=""),"",P168+IFERROR(VLOOKUP(D168,'Cấu hình'!$E$12:$G$15,3,FALSE),0))</x:f>
      </x:c>
      <x:c r="S168" s="101"/>
      <x:c r="T168" s="107"/>
      <x:c r="U168" s="113" t="str">
        <x:f>IF(A168="","",IF(S168&lt;&gt;"",0,IF(I168&lt;&gt;"",I168-TODAY(),IF(R168&lt;&gt;"",R168-TODAY(),""))))</x:f>
      </x:c>
      <x:c r="V168" s="113" t="str">
        <x:f>IF(A168="","",IF(S168&lt;&gt;"",MAX(0,S168-IF(I168&lt;&gt;"",I168,R168)),IF(OR(I168&lt;&gt;"",R168&lt;&gt;""),MAX(0,TODAY()-IF(I168&lt;&gt;"",I168,R168)),0)))</x:f>
      </x:c>
      <x:c r="W168" s="95"/>
      <x:c r="X168" s="95"/>
      <x:c r="Y168" s="92"/>
      <x:c r="Z168" s="92"/>
      <x:c r="AA168" s="92"/>
      <x:c r="AB168" s="92"/>
      <x:c r="AC168" s="113" t="str">
        <x:f>IF(A168="","",IF(P168="","",IF(S168&lt;&gt;"",S168-P168,TODAY()-P168)))</x:f>
      </x:c>
    </x:row>
    <x:row r="169" ht="28" customHeight="1">
      <x:c r="A169" s="92"/>
      <x:c r="B169" s="95"/>
      <x:c r="C169" s="92"/>
      <x:c r="D169" s="92"/>
      <x:c r="E169" s="92"/>
      <x:c r="F169" s="92"/>
      <x:c r="G169" s="92"/>
      <x:c r="H169" s="92"/>
      <x:c r="I169" s="101"/>
      <x:c r="J169" s="107"/>
      <x:c r="K169" s="110" t="str">
        <x:f>IF(A169="","",IFERROR(VLOOKUP(C169,'Cấu hình'!$A$12:$D$19,2,FALSE),0))</x:f>
      </x:c>
      <x:c r="L169" s="92"/>
      <x:c r="M169" s="92"/>
      <x:c r="N169" s="95"/>
      <x:c r="O169" s="101"/>
      <x:c r="P169" s="101"/>
      <x:c r="Q169" s="101"/>
      <x:c r="R169" s="104" t="str">
        <x:f>IF(OR(P169="",D169=""),"",P169+IFERROR(VLOOKUP(D169,'Cấu hình'!$E$12:$G$15,3,FALSE),0))</x:f>
      </x:c>
      <x:c r="S169" s="101"/>
      <x:c r="T169" s="107"/>
      <x:c r="U169" s="113" t="str">
        <x:f>IF(A169="","",IF(S169&lt;&gt;"",0,IF(I169&lt;&gt;"",I169-TODAY(),IF(R169&lt;&gt;"",R169-TODAY(),""))))</x:f>
      </x:c>
      <x:c r="V169" s="113" t="str">
        <x:f>IF(A169="","",IF(S169&lt;&gt;"",MAX(0,S169-IF(I169&lt;&gt;"",I169,R169)),IF(OR(I169&lt;&gt;"",R169&lt;&gt;""),MAX(0,TODAY()-IF(I169&lt;&gt;"",I169,R169)),0)))</x:f>
      </x:c>
      <x:c r="W169" s="95"/>
      <x:c r="X169" s="95"/>
      <x:c r="Y169" s="92"/>
      <x:c r="Z169" s="92"/>
      <x:c r="AA169" s="92"/>
      <x:c r="AB169" s="92"/>
      <x:c r="AC169" s="113" t="str">
        <x:f>IF(A169="","",IF(P169="","",IF(S169&lt;&gt;"",S169-P169,TODAY()-P169)))</x:f>
      </x:c>
    </x:row>
    <x:row r="170" ht="28" customHeight="1">
      <x:c r="A170" s="92"/>
      <x:c r="B170" s="95"/>
      <x:c r="C170" s="92"/>
      <x:c r="D170" s="92"/>
      <x:c r="E170" s="92"/>
      <x:c r="F170" s="92"/>
      <x:c r="G170" s="92"/>
      <x:c r="H170" s="92"/>
      <x:c r="I170" s="101"/>
      <x:c r="J170" s="107"/>
      <x:c r="K170" s="110" t="str">
        <x:f>IF(A170="","",IFERROR(VLOOKUP(C170,'Cấu hình'!$A$12:$D$19,2,FALSE),0))</x:f>
      </x:c>
      <x:c r="L170" s="92"/>
      <x:c r="M170" s="92"/>
      <x:c r="N170" s="95"/>
      <x:c r="O170" s="101"/>
      <x:c r="P170" s="101"/>
      <x:c r="Q170" s="101"/>
      <x:c r="R170" s="104" t="str">
        <x:f>IF(OR(P170="",D170=""),"",P170+IFERROR(VLOOKUP(D170,'Cấu hình'!$E$12:$G$15,3,FALSE),0))</x:f>
      </x:c>
      <x:c r="S170" s="101"/>
      <x:c r="T170" s="107"/>
      <x:c r="U170" s="113" t="str">
        <x:f>IF(A170="","",IF(S170&lt;&gt;"",0,IF(I170&lt;&gt;"",I170-TODAY(),IF(R170&lt;&gt;"",R170-TODAY(),""))))</x:f>
      </x:c>
      <x:c r="V170" s="113" t="str">
        <x:f>IF(A170="","",IF(S170&lt;&gt;"",MAX(0,S170-IF(I170&lt;&gt;"",I170,R170)),IF(OR(I170&lt;&gt;"",R170&lt;&gt;""),MAX(0,TODAY()-IF(I170&lt;&gt;"",I170,R170)),0)))</x:f>
      </x:c>
      <x:c r="W170" s="95"/>
      <x:c r="X170" s="95"/>
      <x:c r="Y170" s="92"/>
      <x:c r="Z170" s="92"/>
      <x:c r="AA170" s="92"/>
      <x:c r="AB170" s="92"/>
      <x:c r="AC170" s="113" t="str">
        <x:f>IF(A170="","",IF(P170="","",IF(S170&lt;&gt;"",S170-P170,TODAY()-P170)))</x:f>
      </x:c>
    </x:row>
    <x:row r="171" ht="28" customHeight="1">
      <x:c r="A171" s="92"/>
      <x:c r="B171" s="95"/>
      <x:c r="C171" s="92"/>
      <x:c r="D171" s="92"/>
      <x:c r="E171" s="92"/>
      <x:c r="F171" s="92"/>
      <x:c r="G171" s="92"/>
      <x:c r="H171" s="92"/>
      <x:c r="I171" s="101"/>
      <x:c r="J171" s="107"/>
      <x:c r="K171" s="110" t="str">
        <x:f>IF(A171="","",IFERROR(VLOOKUP(C171,'Cấu hình'!$A$12:$D$19,2,FALSE),0))</x:f>
      </x:c>
      <x:c r="L171" s="92"/>
      <x:c r="M171" s="92"/>
      <x:c r="N171" s="95"/>
      <x:c r="O171" s="101"/>
      <x:c r="P171" s="101"/>
      <x:c r="Q171" s="101"/>
      <x:c r="R171" s="104" t="str">
        <x:f>IF(OR(P171="",D171=""),"",P171+IFERROR(VLOOKUP(D171,'Cấu hình'!$E$12:$G$15,3,FALSE),0))</x:f>
      </x:c>
      <x:c r="S171" s="101"/>
      <x:c r="T171" s="107"/>
      <x:c r="U171" s="113" t="str">
        <x:f>IF(A171="","",IF(S171&lt;&gt;"",0,IF(I171&lt;&gt;"",I171-TODAY(),IF(R171&lt;&gt;"",R171-TODAY(),""))))</x:f>
      </x:c>
      <x:c r="V171" s="113" t="str">
        <x:f>IF(A171="","",IF(S171&lt;&gt;"",MAX(0,S171-IF(I171&lt;&gt;"",I171,R171)),IF(OR(I171&lt;&gt;"",R171&lt;&gt;""),MAX(0,TODAY()-IF(I171&lt;&gt;"",I171,R171)),0)))</x:f>
      </x:c>
      <x:c r="W171" s="95"/>
      <x:c r="X171" s="95"/>
      <x:c r="Y171" s="92"/>
      <x:c r="Z171" s="92"/>
      <x:c r="AA171" s="92"/>
      <x:c r="AB171" s="92"/>
      <x:c r="AC171" s="113" t="str">
        <x:f>IF(A171="","",IF(P171="","",IF(S171&lt;&gt;"",S171-P171,TODAY()-P171)))</x:f>
      </x:c>
    </x:row>
    <x:row r="172" ht="28" customHeight="1">
      <x:c r="A172" s="92"/>
      <x:c r="B172" s="95"/>
      <x:c r="C172" s="92"/>
      <x:c r="D172" s="92"/>
      <x:c r="E172" s="92"/>
      <x:c r="F172" s="92"/>
      <x:c r="G172" s="92"/>
      <x:c r="H172" s="92"/>
      <x:c r="I172" s="101"/>
      <x:c r="J172" s="107"/>
      <x:c r="K172" s="110" t="str">
        <x:f>IF(A172="","",IFERROR(VLOOKUP(C172,'Cấu hình'!$A$12:$D$19,2,FALSE),0))</x:f>
      </x:c>
      <x:c r="L172" s="92"/>
      <x:c r="M172" s="92"/>
      <x:c r="N172" s="95"/>
      <x:c r="O172" s="101"/>
      <x:c r="P172" s="101"/>
      <x:c r="Q172" s="101"/>
      <x:c r="R172" s="104" t="str">
        <x:f>IF(OR(P172="",D172=""),"",P172+IFERROR(VLOOKUP(D172,'Cấu hình'!$E$12:$G$15,3,FALSE),0))</x:f>
      </x:c>
      <x:c r="S172" s="101"/>
      <x:c r="T172" s="107"/>
      <x:c r="U172" s="113" t="str">
        <x:f>IF(A172="","",IF(S172&lt;&gt;"",0,IF(I172&lt;&gt;"",I172-TODAY(),IF(R172&lt;&gt;"",R172-TODAY(),""))))</x:f>
      </x:c>
      <x:c r="V172" s="113" t="str">
        <x:f>IF(A172="","",IF(S172&lt;&gt;"",MAX(0,S172-IF(I172&lt;&gt;"",I172,R172)),IF(OR(I172&lt;&gt;"",R172&lt;&gt;""),MAX(0,TODAY()-IF(I172&lt;&gt;"",I172,R172)),0)))</x:f>
      </x:c>
      <x:c r="W172" s="95"/>
      <x:c r="X172" s="95"/>
      <x:c r="Y172" s="92"/>
      <x:c r="Z172" s="92"/>
      <x:c r="AA172" s="92"/>
      <x:c r="AB172" s="92"/>
      <x:c r="AC172" s="113" t="str">
        <x:f>IF(A172="","",IF(P172="","",IF(S172&lt;&gt;"",S172-P172,TODAY()-P172)))</x:f>
      </x:c>
    </x:row>
    <x:row r="173" ht="28" customHeight="1">
      <x:c r="A173" s="92"/>
      <x:c r="B173" s="95"/>
      <x:c r="C173" s="92"/>
      <x:c r="D173" s="92"/>
      <x:c r="E173" s="92"/>
      <x:c r="F173" s="92"/>
      <x:c r="G173" s="92"/>
      <x:c r="H173" s="92"/>
      <x:c r="I173" s="101"/>
      <x:c r="J173" s="107"/>
      <x:c r="K173" s="110" t="str">
        <x:f>IF(A173="","",IFERROR(VLOOKUP(C173,'Cấu hình'!$A$12:$D$19,2,FALSE),0))</x:f>
      </x:c>
      <x:c r="L173" s="92"/>
      <x:c r="M173" s="92"/>
      <x:c r="N173" s="95"/>
      <x:c r="O173" s="101"/>
      <x:c r="P173" s="101"/>
      <x:c r="Q173" s="101"/>
      <x:c r="R173" s="104" t="str">
        <x:f>IF(OR(P173="",D173=""),"",P173+IFERROR(VLOOKUP(D173,'Cấu hình'!$E$12:$G$15,3,FALSE),0))</x:f>
      </x:c>
      <x:c r="S173" s="101"/>
      <x:c r="T173" s="107"/>
      <x:c r="U173" s="113" t="str">
        <x:f>IF(A173="","",IF(S173&lt;&gt;"",0,IF(I173&lt;&gt;"",I173-TODAY(),IF(R173&lt;&gt;"",R173-TODAY(),""))))</x:f>
      </x:c>
      <x:c r="V173" s="113" t="str">
        <x:f>IF(A173="","",IF(S173&lt;&gt;"",MAX(0,S173-IF(I173&lt;&gt;"",I173,R173)),IF(OR(I173&lt;&gt;"",R173&lt;&gt;""),MAX(0,TODAY()-IF(I173&lt;&gt;"",I173,R173)),0)))</x:f>
      </x:c>
      <x:c r="W173" s="95"/>
      <x:c r="X173" s="95"/>
      <x:c r="Y173" s="92"/>
      <x:c r="Z173" s="92"/>
      <x:c r="AA173" s="92"/>
      <x:c r="AB173" s="92"/>
      <x:c r="AC173" s="113" t="str">
        <x:f>IF(A173="","",IF(P173="","",IF(S173&lt;&gt;"",S173-P173,TODAY()-P173)))</x:f>
      </x:c>
    </x:row>
    <x:row r="174" ht="28" customHeight="1">
      <x:c r="A174" s="92"/>
      <x:c r="B174" s="95"/>
      <x:c r="C174" s="92"/>
      <x:c r="D174" s="92"/>
      <x:c r="E174" s="92"/>
      <x:c r="F174" s="92"/>
      <x:c r="G174" s="92"/>
      <x:c r="H174" s="92"/>
      <x:c r="I174" s="101"/>
      <x:c r="J174" s="107"/>
      <x:c r="K174" s="110" t="str">
        <x:f>IF(A174="","",IFERROR(VLOOKUP(C174,'Cấu hình'!$A$12:$D$19,2,FALSE),0))</x:f>
      </x:c>
      <x:c r="L174" s="92"/>
      <x:c r="M174" s="92"/>
      <x:c r="N174" s="95"/>
      <x:c r="O174" s="101"/>
      <x:c r="P174" s="101"/>
      <x:c r="Q174" s="101"/>
      <x:c r="R174" s="104" t="str">
        <x:f>IF(OR(P174="",D174=""),"",P174+IFERROR(VLOOKUP(D174,'Cấu hình'!$E$12:$G$15,3,FALSE),0))</x:f>
      </x:c>
      <x:c r="S174" s="101"/>
      <x:c r="T174" s="107"/>
      <x:c r="U174" s="113" t="str">
        <x:f>IF(A174="","",IF(S174&lt;&gt;"",0,IF(I174&lt;&gt;"",I174-TODAY(),IF(R174&lt;&gt;"",R174-TODAY(),""))))</x:f>
      </x:c>
      <x:c r="V174" s="113" t="str">
        <x:f>IF(A174="","",IF(S174&lt;&gt;"",MAX(0,S174-IF(I174&lt;&gt;"",I174,R174)),IF(OR(I174&lt;&gt;"",R174&lt;&gt;""),MAX(0,TODAY()-IF(I174&lt;&gt;"",I174,R174)),0)))</x:f>
      </x:c>
      <x:c r="W174" s="95"/>
      <x:c r="X174" s="95"/>
      <x:c r="Y174" s="92"/>
      <x:c r="Z174" s="92"/>
      <x:c r="AA174" s="92"/>
      <x:c r="AB174" s="92"/>
      <x:c r="AC174" s="113" t="str">
        <x:f>IF(A174="","",IF(P174="","",IF(S174&lt;&gt;"",S174-P174,TODAY()-P174)))</x:f>
      </x:c>
    </x:row>
    <x:row r="175" ht="28" customHeight="1">
      <x:c r="A175" s="92"/>
      <x:c r="B175" s="95"/>
      <x:c r="C175" s="92"/>
      <x:c r="D175" s="92"/>
      <x:c r="E175" s="92"/>
      <x:c r="F175" s="92"/>
      <x:c r="G175" s="92"/>
      <x:c r="H175" s="92"/>
      <x:c r="I175" s="101"/>
      <x:c r="J175" s="107"/>
      <x:c r="K175" s="110" t="str">
        <x:f>IF(A175="","",IFERROR(VLOOKUP(C175,'Cấu hình'!$A$12:$D$19,2,FALSE),0))</x:f>
      </x:c>
      <x:c r="L175" s="92"/>
      <x:c r="M175" s="92"/>
      <x:c r="N175" s="95"/>
      <x:c r="O175" s="101"/>
      <x:c r="P175" s="101"/>
      <x:c r="Q175" s="101"/>
      <x:c r="R175" s="104" t="str">
        <x:f>IF(OR(P175="",D175=""),"",P175+IFERROR(VLOOKUP(D175,'Cấu hình'!$E$12:$G$15,3,FALSE),0))</x:f>
      </x:c>
      <x:c r="S175" s="101"/>
      <x:c r="T175" s="107"/>
      <x:c r="U175" s="113" t="str">
        <x:f>IF(A175="","",IF(S175&lt;&gt;"",0,IF(I175&lt;&gt;"",I175-TODAY(),IF(R175&lt;&gt;"",R175-TODAY(),""))))</x:f>
      </x:c>
      <x:c r="V175" s="113" t="str">
        <x:f>IF(A175="","",IF(S175&lt;&gt;"",MAX(0,S175-IF(I175&lt;&gt;"",I175,R175)),IF(OR(I175&lt;&gt;"",R175&lt;&gt;""),MAX(0,TODAY()-IF(I175&lt;&gt;"",I175,R175)),0)))</x:f>
      </x:c>
      <x:c r="W175" s="95"/>
      <x:c r="X175" s="95"/>
      <x:c r="Y175" s="92"/>
      <x:c r="Z175" s="92"/>
      <x:c r="AA175" s="92"/>
      <x:c r="AB175" s="92"/>
      <x:c r="AC175" s="113" t="str">
        <x:f>IF(A175="","",IF(P175="","",IF(S175&lt;&gt;"",S175-P175,TODAY()-P175)))</x:f>
      </x:c>
    </x:row>
    <x:row r="176" ht="28" customHeight="1">
      <x:c r="A176" s="92"/>
      <x:c r="B176" s="95"/>
      <x:c r="C176" s="92"/>
      <x:c r="D176" s="92"/>
      <x:c r="E176" s="92"/>
      <x:c r="F176" s="92"/>
      <x:c r="G176" s="92"/>
      <x:c r="H176" s="92"/>
      <x:c r="I176" s="101"/>
      <x:c r="J176" s="107"/>
      <x:c r="K176" s="110" t="str">
        <x:f>IF(A176="","",IFERROR(VLOOKUP(C176,'Cấu hình'!$A$12:$D$19,2,FALSE),0))</x:f>
      </x:c>
      <x:c r="L176" s="92"/>
      <x:c r="M176" s="92"/>
      <x:c r="N176" s="95"/>
      <x:c r="O176" s="101"/>
      <x:c r="P176" s="101"/>
      <x:c r="Q176" s="101"/>
      <x:c r="R176" s="104" t="str">
        <x:f>IF(OR(P176="",D176=""),"",P176+IFERROR(VLOOKUP(D176,'Cấu hình'!$E$12:$G$15,3,FALSE),0))</x:f>
      </x:c>
      <x:c r="S176" s="101"/>
      <x:c r="T176" s="107"/>
      <x:c r="U176" s="113" t="str">
        <x:f>IF(A176="","",IF(S176&lt;&gt;"",0,IF(I176&lt;&gt;"",I176-TODAY(),IF(R176&lt;&gt;"",R176-TODAY(),""))))</x:f>
      </x:c>
      <x:c r="V176" s="113" t="str">
        <x:f>IF(A176="","",IF(S176&lt;&gt;"",MAX(0,S176-IF(I176&lt;&gt;"",I176,R176)),IF(OR(I176&lt;&gt;"",R176&lt;&gt;""),MAX(0,TODAY()-IF(I176&lt;&gt;"",I176,R176)),0)))</x:f>
      </x:c>
      <x:c r="W176" s="95"/>
      <x:c r="X176" s="95"/>
      <x:c r="Y176" s="92"/>
      <x:c r="Z176" s="92"/>
      <x:c r="AA176" s="92"/>
      <x:c r="AB176" s="92"/>
      <x:c r="AC176" s="113" t="str">
        <x:f>IF(A176="","",IF(P176="","",IF(S176&lt;&gt;"",S176-P176,TODAY()-P176)))</x:f>
      </x:c>
    </x:row>
    <x:row r="177" ht="28" customHeight="1">
      <x:c r="A177" s="92"/>
      <x:c r="B177" s="95"/>
      <x:c r="C177" s="92"/>
      <x:c r="D177" s="92"/>
      <x:c r="E177" s="92"/>
      <x:c r="F177" s="92"/>
      <x:c r="G177" s="92"/>
      <x:c r="H177" s="92"/>
      <x:c r="I177" s="101"/>
      <x:c r="J177" s="107"/>
      <x:c r="K177" s="110" t="str">
        <x:f>IF(A177="","",IFERROR(VLOOKUP(C177,'Cấu hình'!$A$12:$D$19,2,FALSE),0))</x:f>
      </x:c>
      <x:c r="L177" s="92"/>
      <x:c r="M177" s="92"/>
      <x:c r="N177" s="95"/>
      <x:c r="O177" s="101"/>
      <x:c r="P177" s="101"/>
      <x:c r="Q177" s="101"/>
      <x:c r="R177" s="104" t="str">
        <x:f>IF(OR(P177="",D177=""),"",P177+IFERROR(VLOOKUP(D177,'Cấu hình'!$E$12:$G$15,3,FALSE),0))</x:f>
      </x:c>
      <x:c r="S177" s="101"/>
      <x:c r="T177" s="107"/>
      <x:c r="U177" s="113" t="str">
        <x:f>IF(A177="","",IF(S177&lt;&gt;"",0,IF(I177&lt;&gt;"",I177-TODAY(),IF(R177&lt;&gt;"",R177-TODAY(),""))))</x:f>
      </x:c>
      <x:c r="V177" s="113" t="str">
        <x:f>IF(A177="","",IF(S177&lt;&gt;"",MAX(0,S177-IF(I177&lt;&gt;"",I177,R177)),IF(OR(I177&lt;&gt;"",R177&lt;&gt;""),MAX(0,TODAY()-IF(I177&lt;&gt;"",I177,R177)),0)))</x:f>
      </x:c>
      <x:c r="W177" s="95"/>
      <x:c r="X177" s="95"/>
      <x:c r="Y177" s="92"/>
      <x:c r="Z177" s="92"/>
      <x:c r="AA177" s="92"/>
      <x:c r="AB177" s="92"/>
      <x:c r="AC177" s="113" t="str">
        <x:f>IF(A177="","",IF(P177="","",IF(S177&lt;&gt;"",S177-P177,TODAY()-P177)))</x:f>
      </x:c>
    </x:row>
    <x:row r="178" ht="28" customHeight="1">
      <x:c r="A178" s="92"/>
      <x:c r="B178" s="95"/>
      <x:c r="C178" s="92"/>
      <x:c r="D178" s="92"/>
      <x:c r="E178" s="92"/>
      <x:c r="F178" s="92"/>
      <x:c r="G178" s="92"/>
      <x:c r="H178" s="92"/>
      <x:c r="I178" s="101"/>
      <x:c r="J178" s="107"/>
      <x:c r="K178" s="110" t="str">
        <x:f>IF(A178="","",IFERROR(VLOOKUP(C178,'Cấu hình'!$A$12:$D$19,2,FALSE),0))</x:f>
      </x:c>
      <x:c r="L178" s="92"/>
      <x:c r="M178" s="92"/>
      <x:c r="N178" s="95"/>
      <x:c r="O178" s="101"/>
      <x:c r="P178" s="101"/>
      <x:c r="Q178" s="101"/>
      <x:c r="R178" s="104" t="str">
        <x:f>IF(OR(P178="",D178=""),"",P178+IFERROR(VLOOKUP(D178,'Cấu hình'!$E$12:$G$15,3,FALSE),0))</x:f>
      </x:c>
      <x:c r="S178" s="101"/>
      <x:c r="T178" s="107"/>
      <x:c r="U178" s="113" t="str">
        <x:f>IF(A178="","",IF(S178&lt;&gt;"",0,IF(I178&lt;&gt;"",I178-TODAY(),IF(R178&lt;&gt;"",R178-TODAY(),""))))</x:f>
      </x:c>
      <x:c r="V178" s="113" t="str">
        <x:f>IF(A178="","",IF(S178&lt;&gt;"",MAX(0,S178-IF(I178&lt;&gt;"",I178,R178)),IF(OR(I178&lt;&gt;"",R178&lt;&gt;""),MAX(0,TODAY()-IF(I178&lt;&gt;"",I178,R178)),0)))</x:f>
      </x:c>
      <x:c r="W178" s="95"/>
      <x:c r="X178" s="95"/>
      <x:c r="Y178" s="92"/>
      <x:c r="Z178" s="92"/>
      <x:c r="AA178" s="92"/>
      <x:c r="AB178" s="92"/>
      <x:c r="AC178" s="113" t="str">
        <x:f>IF(A178="","",IF(P178="","",IF(S178&lt;&gt;"",S178-P178,TODAY()-P178)))</x:f>
      </x:c>
    </x:row>
    <x:row r="179" ht="28" customHeight="1">
      <x:c r="A179" s="92"/>
      <x:c r="B179" s="95"/>
      <x:c r="C179" s="92"/>
      <x:c r="D179" s="92"/>
      <x:c r="E179" s="92"/>
      <x:c r="F179" s="92"/>
      <x:c r="G179" s="92"/>
      <x:c r="H179" s="92"/>
      <x:c r="I179" s="101"/>
      <x:c r="J179" s="107"/>
      <x:c r="K179" s="110" t="str">
        <x:f>IF(A179="","",IFERROR(VLOOKUP(C179,'Cấu hình'!$A$12:$D$19,2,FALSE),0))</x:f>
      </x:c>
      <x:c r="L179" s="92"/>
      <x:c r="M179" s="92"/>
      <x:c r="N179" s="95"/>
      <x:c r="O179" s="101"/>
      <x:c r="P179" s="101"/>
      <x:c r="Q179" s="101"/>
      <x:c r="R179" s="104" t="str">
        <x:f>IF(OR(P179="",D179=""),"",P179+IFERROR(VLOOKUP(D179,'Cấu hình'!$E$12:$G$15,3,FALSE),0))</x:f>
      </x:c>
      <x:c r="S179" s="101"/>
      <x:c r="T179" s="107"/>
      <x:c r="U179" s="113" t="str">
        <x:f>IF(A179="","",IF(S179&lt;&gt;"",0,IF(I179&lt;&gt;"",I179-TODAY(),IF(R179&lt;&gt;"",R179-TODAY(),""))))</x:f>
      </x:c>
      <x:c r="V179" s="113" t="str">
        <x:f>IF(A179="","",IF(S179&lt;&gt;"",MAX(0,S179-IF(I179&lt;&gt;"",I179,R179)),IF(OR(I179&lt;&gt;"",R179&lt;&gt;""),MAX(0,TODAY()-IF(I179&lt;&gt;"",I179,R179)),0)))</x:f>
      </x:c>
      <x:c r="W179" s="95"/>
      <x:c r="X179" s="95"/>
      <x:c r="Y179" s="92"/>
      <x:c r="Z179" s="92"/>
      <x:c r="AA179" s="92"/>
      <x:c r="AB179" s="92"/>
      <x:c r="AC179" s="113" t="str">
        <x:f>IF(A179="","",IF(P179="","",IF(S179&lt;&gt;"",S179-P179,TODAY()-P179)))</x:f>
      </x:c>
    </x:row>
    <x:row r="180" ht="28" customHeight="1">
      <x:c r="A180" s="92"/>
      <x:c r="B180" s="95"/>
      <x:c r="C180" s="92"/>
      <x:c r="D180" s="92"/>
      <x:c r="E180" s="92"/>
      <x:c r="F180" s="92"/>
      <x:c r="G180" s="92"/>
      <x:c r="H180" s="92"/>
      <x:c r="I180" s="101"/>
      <x:c r="J180" s="107"/>
      <x:c r="K180" s="110" t="str">
        <x:f>IF(A180="","",IFERROR(VLOOKUP(C180,'Cấu hình'!$A$12:$D$19,2,FALSE),0))</x:f>
      </x:c>
      <x:c r="L180" s="92"/>
      <x:c r="M180" s="92"/>
      <x:c r="N180" s="95"/>
      <x:c r="O180" s="101"/>
      <x:c r="P180" s="101"/>
      <x:c r="Q180" s="101"/>
      <x:c r="R180" s="104" t="str">
        <x:f>IF(OR(P180="",D180=""),"",P180+IFERROR(VLOOKUP(D180,'Cấu hình'!$E$12:$G$15,3,FALSE),0))</x:f>
      </x:c>
      <x:c r="S180" s="101"/>
      <x:c r="T180" s="107"/>
      <x:c r="U180" s="113" t="str">
        <x:f>IF(A180="","",IF(S180&lt;&gt;"",0,IF(I180&lt;&gt;"",I180-TODAY(),IF(R180&lt;&gt;"",R180-TODAY(),""))))</x:f>
      </x:c>
      <x:c r="V180" s="113" t="str">
        <x:f>IF(A180="","",IF(S180&lt;&gt;"",MAX(0,S180-IF(I180&lt;&gt;"",I180,R180)),IF(OR(I180&lt;&gt;"",R180&lt;&gt;""),MAX(0,TODAY()-IF(I180&lt;&gt;"",I180,R180)),0)))</x:f>
      </x:c>
      <x:c r="W180" s="95"/>
      <x:c r="X180" s="95"/>
      <x:c r="Y180" s="92"/>
      <x:c r="Z180" s="92"/>
      <x:c r="AA180" s="92"/>
      <x:c r="AB180" s="92"/>
      <x:c r="AC180" s="113" t="str">
        <x:f>IF(A180="","",IF(P180="","",IF(S180&lt;&gt;"",S180-P180,TODAY()-P180)))</x:f>
      </x:c>
    </x:row>
    <x:row r="181" ht="28" customHeight="1">
      <x:c r="A181" s="92"/>
      <x:c r="B181" s="95"/>
      <x:c r="C181" s="92"/>
      <x:c r="D181" s="92"/>
      <x:c r="E181" s="92"/>
      <x:c r="F181" s="92"/>
      <x:c r="G181" s="92"/>
      <x:c r="H181" s="92"/>
      <x:c r="I181" s="101"/>
      <x:c r="J181" s="107"/>
      <x:c r="K181" s="110" t="str">
        <x:f>IF(A181="","",IFERROR(VLOOKUP(C181,'Cấu hình'!$A$12:$D$19,2,FALSE),0))</x:f>
      </x:c>
      <x:c r="L181" s="92"/>
      <x:c r="M181" s="92"/>
      <x:c r="N181" s="95"/>
      <x:c r="O181" s="101"/>
      <x:c r="P181" s="101"/>
      <x:c r="Q181" s="101"/>
      <x:c r="R181" s="104" t="str">
        <x:f>IF(OR(P181="",D181=""),"",P181+IFERROR(VLOOKUP(D181,'Cấu hình'!$E$12:$G$15,3,FALSE),0))</x:f>
      </x:c>
      <x:c r="S181" s="101"/>
      <x:c r="T181" s="107"/>
      <x:c r="U181" s="113" t="str">
        <x:f>IF(A181="","",IF(S181&lt;&gt;"",0,IF(I181&lt;&gt;"",I181-TODAY(),IF(R181&lt;&gt;"",R181-TODAY(),""))))</x:f>
      </x:c>
      <x:c r="V181" s="113" t="str">
        <x:f>IF(A181="","",IF(S181&lt;&gt;"",MAX(0,S181-IF(I181&lt;&gt;"",I181,R181)),IF(OR(I181&lt;&gt;"",R181&lt;&gt;""),MAX(0,TODAY()-IF(I181&lt;&gt;"",I181,R181)),0)))</x:f>
      </x:c>
      <x:c r="W181" s="95"/>
      <x:c r="X181" s="95"/>
      <x:c r="Y181" s="92"/>
      <x:c r="Z181" s="92"/>
      <x:c r="AA181" s="92"/>
      <x:c r="AB181" s="92"/>
      <x:c r="AC181" s="113" t="str">
        <x:f>IF(A181="","",IF(P181="","",IF(S181&lt;&gt;"",S181-P181,TODAY()-P181)))</x:f>
      </x:c>
    </x:row>
    <x:row r="182" ht="28" customHeight="1">
      <x:c r="A182" s="92"/>
      <x:c r="B182" s="95"/>
      <x:c r="C182" s="92"/>
      <x:c r="D182" s="92"/>
      <x:c r="E182" s="92"/>
      <x:c r="F182" s="92"/>
      <x:c r="G182" s="92"/>
      <x:c r="H182" s="92"/>
      <x:c r="I182" s="101"/>
      <x:c r="J182" s="107"/>
      <x:c r="K182" s="110" t="str">
        <x:f>IF(A182="","",IFERROR(VLOOKUP(C182,'Cấu hình'!$A$12:$D$19,2,FALSE),0))</x:f>
      </x:c>
      <x:c r="L182" s="92"/>
      <x:c r="M182" s="92"/>
      <x:c r="N182" s="95"/>
      <x:c r="O182" s="101"/>
      <x:c r="P182" s="101"/>
      <x:c r="Q182" s="101"/>
      <x:c r="R182" s="104" t="str">
        <x:f>IF(OR(P182="",D182=""),"",P182+IFERROR(VLOOKUP(D182,'Cấu hình'!$E$12:$G$15,3,FALSE),0))</x:f>
      </x:c>
      <x:c r="S182" s="101"/>
      <x:c r="T182" s="107"/>
      <x:c r="U182" s="113" t="str">
        <x:f>IF(A182="","",IF(S182&lt;&gt;"",0,IF(I182&lt;&gt;"",I182-TODAY(),IF(R182&lt;&gt;"",R182-TODAY(),""))))</x:f>
      </x:c>
      <x:c r="V182" s="113" t="str">
        <x:f>IF(A182="","",IF(S182&lt;&gt;"",MAX(0,S182-IF(I182&lt;&gt;"",I182,R182)),IF(OR(I182&lt;&gt;"",R182&lt;&gt;""),MAX(0,TODAY()-IF(I182&lt;&gt;"",I182,R182)),0)))</x:f>
      </x:c>
      <x:c r="W182" s="95"/>
      <x:c r="X182" s="95"/>
      <x:c r="Y182" s="92"/>
      <x:c r="Z182" s="92"/>
      <x:c r="AA182" s="92"/>
      <x:c r="AB182" s="92"/>
      <x:c r="AC182" s="113" t="str">
        <x:f>IF(A182="","",IF(P182="","",IF(S182&lt;&gt;"",S182-P182,TODAY()-P182)))</x:f>
      </x:c>
    </x:row>
    <x:row r="183" ht="28" customHeight="1">
      <x:c r="A183" s="92"/>
      <x:c r="B183" s="95"/>
      <x:c r="C183" s="92"/>
      <x:c r="D183" s="92"/>
      <x:c r="E183" s="92"/>
      <x:c r="F183" s="92"/>
      <x:c r="G183" s="92"/>
      <x:c r="H183" s="92"/>
      <x:c r="I183" s="101"/>
      <x:c r="J183" s="107"/>
      <x:c r="K183" s="110" t="str">
        <x:f>IF(A183="","",IFERROR(VLOOKUP(C183,'Cấu hình'!$A$12:$D$19,2,FALSE),0))</x:f>
      </x:c>
      <x:c r="L183" s="92"/>
      <x:c r="M183" s="92"/>
      <x:c r="N183" s="95"/>
      <x:c r="O183" s="101"/>
      <x:c r="P183" s="101"/>
      <x:c r="Q183" s="101"/>
      <x:c r="R183" s="104" t="str">
        <x:f>IF(OR(P183="",D183=""),"",P183+IFERROR(VLOOKUP(D183,'Cấu hình'!$E$12:$G$15,3,FALSE),0))</x:f>
      </x:c>
      <x:c r="S183" s="101"/>
      <x:c r="T183" s="107"/>
      <x:c r="U183" s="113" t="str">
        <x:f>IF(A183="","",IF(S183&lt;&gt;"",0,IF(I183&lt;&gt;"",I183-TODAY(),IF(R183&lt;&gt;"",R183-TODAY(),""))))</x:f>
      </x:c>
      <x:c r="V183" s="113" t="str">
        <x:f>IF(A183="","",IF(S183&lt;&gt;"",MAX(0,S183-IF(I183&lt;&gt;"",I183,R183)),IF(OR(I183&lt;&gt;"",R183&lt;&gt;""),MAX(0,TODAY()-IF(I183&lt;&gt;"",I183,R183)),0)))</x:f>
      </x:c>
      <x:c r="W183" s="95"/>
      <x:c r="X183" s="95"/>
      <x:c r="Y183" s="92"/>
      <x:c r="Z183" s="92"/>
      <x:c r="AA183" s="92"/>
      <x:c r="AB183" s="92"/>
      <x:c r="AC183" s="113" t="str">
        <x:f>IF(A183="","",IF(P183="","",IF(S183&lt;&gt;"",S183-P183,TODAY()-P183)))</x:f>
      </x:c>
    </x:row>
    <x:row r="184" ht="28" customHeight="1">
      <x:c r="A184" s="92"/>
      <x:c r="B184" s="95"/>
      <x:c r="C184" s="92"/>
      <x:c r="D184" s="92"/>
      <x:c r="E184" s="92"/>
      <x:c r="F184" s="92"/>
      <x:c r="G184" s="92"/>
      <x:c r="H184" s="92"/>
      <x:c r="I184" s="101"/>
      <x:c r="J184" s="107"/>
      <x:c r="K184" s="110" t="str">
        <x:f>IF(A184="","",IFERROR(VLOOKUP(C184,'Cấu hình'!$A$12:$D$19,2,FALSE),0))</x:f>
      </x:c>
      <x:c r="L184" s="92"/>
      <x:c r="M184" s="92"/>
      <x:c r="N184" s="95"/>
      <x:c r="O184" s="101"/>
      <x:c r="P184" s="101"/>
      <x:c r="Q184" s="101"/>
      <x:c r="R184" s="104" t="str">
        <x:f>IF(OR(P184="",D184=""),"",P184+IFERROR(VLOOKUP(D184,'Cấu hình'!$E$12:$G$15,3,FALSE),0))</x:f>
      </x:c>
      <x:c r="S184" s="101"/>
      <x:c r="T184" s="107"/>
      <x:c r="U184" s="113" t="str">
        <x:f>IF(A184="","",IF(S184&lt;&gt;"",0,IF(I184&lt;&gt;"",I184-TODAY(),IF(R184&lt;&gt;"",R184-TODAY(),""))))</x:f>
      </x:c>
      <x:c r="V184" s="113" t="str">
        <x:f>IF(A184="","",IF(S184&lt;&gt;"",MAX(0,S184-IF(I184&lt;&gt;"",I184,R184)),IF(OR(I184&lt;&gt;"",R184&lt;&gt;""),MAX(0,TODAY()-IF(I184&lt;&gt;"",I184,R184)),0)))</x:f>
      </x:c>
      <x:c r="W184" s="95"/>
      <x:c r="X184" s="95"/>
      <x:c r="Y184" s="92"/>
      <x:c r="Z184" s="92"/>
      <x:c r="AA184" s="92"/>
      <x:c r="AB184" s="92"/>
      <x:c r="AC184" s="113" t="str">
        <x:f>IF(A184="","",IF(P184="","",IF(S184&lt;&gt;"",S184-P184,TODAY()-P184)))</x:f>
      </x:c>
    </x:row>
    <x:row r="185" ht="28" customHeight="1">
      <x:c r="A185" s="92"/>
      <x:c r="B185" s="95"/>
      <x:c r="C185" s="92"/>
      <x:c r="D185" s="92"/>
      <x:c r="E185" s="92"/>
      <x:c r="F185" s="92"/>
      <x:c r="G185" s="92"/>
      <x:c r="H185" s="92"/>
      <x:c r="I185" s="101"/>
      <x:c r="J185" s="107"/>
      <x:c r="K185" s="110" t="str">
        <x:f>IF(A185="","",IFERROR(VLOOKUP(C185,'Cấu hình'!$A$12:$D$19,2,FALSE),0))</x:f>
      </x:c>
      <x:c r="L185" s="92"/>
      <x:c r="M185" s="92"/>
      <x:c r="N185" s="95"/>
      <x:c r="O185" s="101"/>
      <x:c r="P185" s="101"/>
      <x:c r="Q185" s="101"/>
      <x:c r="R185" s="104" t="str">
        <x:f>IF(OR(P185="",D185=""),"",P185+IFERROR(VLOOKUP(D185,'Cấu hình'!$E$12:$G$15,3,FALSE),0))</x:f>
      </x:c>
      <x:c r="S185" s="101"/>
      <x:c r="T185" s="107"/>
      <x:c r="U185" s="113" t="str">
        <x:f>IF(A185="","",IF(S185&lt;&gt;"",0,IF(I185&lt;&gt;"",I185-TODAY(),IF(R185&lt;&gt;"",R185-TODAY(),""))))</x:f>
      </x:c>
      <x:c r="V185" s="113" t="str">
        <x:f>IF(A185="","",IF(S185&lt;&gt;"",MAX(0,S185-IF(I185&lt;&gt;"",I185,R185)),IF(OR(I185&lt;&gt;"",R185&lt;&gt;""),MAX(0,TODAY()-IF(I185&lt;&gt;"",I185,R185)),0)))</x:f>
      </x:c>
      <x:c r="W185" s="95"/>
      <x:c r="X185" s="95"/>
      <x:c r="Y185" s="92"/>
      <x:c r="Z185" s="92"/>
      <x:c r="AA185" s="92"/>
      <x:c r="AB185" s="92"/>
      <x:c r="AC185" s="113" t="str">
        <x:f>IF(A185="","",IF(P185="","",IF(S185&lt;&gt;"",S185-P185,TODAY()-P185)))</x:f>
      </x:c>
    </x:row>
    <x:row r="186" ht="28" customHeight="1">
      <x:c r="A186" s="92"/>
      <x:c r="B186" s="95"/>
      <x:c r="C186" s="92"/>
      <x:c r="D186" s="92"/>
      <x:c r="E186" s="92"/>
      <x:c r="F186" s="92"/>
      <x:c r="G186" s="92"/>
      <x:c r="H186" s="92"/>
      <x:c r="I186" s="101"/>
      <x:c r="J186" s="107"/>
      <x:c r="K186" s="110" t="str">
        <x:f>IF(A186="","",IFERROR(VLOOKUP(C186,'Cấu hình'!$A$12:$D$19,2,FALSE),0))</x:f>
      </x:c>
      <x:c r="L186" s="92"/>
      <x:c r="M186" s="92"/>
      <x:c r="N186" s="95"/>
      <x:c r="O186" s="101"/>
      <x:c r="P186" s="101"/>
      <x:c r="Q186" s="101"/>
      <x:c r="R186" s="104" t="str">
        <x:f>IF(OR(P186="",D186=""),"",P186+IFERROR(VLOOKUP(D186,'Cấu hình'!$E$12:$G$15,3,FALSE),0))</x:f>
      </x:c>
      <x:c r="S186" s="101"/>
      <x:c r="T186" s="107"/>
      <x:c r="U186" s="113" t="str">
        <x:f>IF(A186="","",IF(S186&lt;&gt;"",0,IF(I186&lt;&gt;"",I186-TODAY(),IF(R186&lt;&gt;"",R186-TODAY(),""))))</x:f>
      </x:c>
      <x:c r="V186" s="113" t="str">
        <x:f>IF(A186="","",IF(S186&lt;&gt;"",MAX(0,S186-IF(I186&lt;&gt;"",I186,R186)),IF(OR(I186&lt;&gt;"",R186&lt;&gt;""),MAX(0,TODAY()-IF(I186&lt;&gt;"",I186,R186)),0)))</x:f>
      </x:c>
      <x:c r="W186" s="95"/>
      <x:c r="X186" s="95"/>
      <x:c r="Y186" s="92"/>
      <x:c r="Z186" s="92"/>
      <x:c r="AA186" s="92"/>
      <x:c r="AB186" s="92"/>
      <x:c r="AC186" s="113" t="str">
        <x:f>IF(A186="","",IF(P186="","",IF(S186&lt;&gt;"",S186-P186,TODAY()-P186)))</x:f>
      </x:c>
    </x:row>
    <x:row r="187" ht="28" customHeight="1">
      <x:c r="A187" s="92"/>
      <x:c r="B187" s="95"/>
      <x:c r="C187" s="92"/>
      <x:c r="D187" s="92"/>
      <x:c r="E187" s="92"/>
      <x:c r="F187" s="92"/>
      <x:c r="G187" s="92"/>
      <x:c r="H187" s="92"/>
      <x:c r="I187" s="101"/>
      <x:c r="J187" s="107"/>
      <x:c r="K187" s="110" t="str">
        <x:f>IF(A187="","",IFERROR(VLOOKUP(C187,'Cấu hình'!$A$12:$D$19,2,FALSE),0))</x:f>
      </x:c>
      <x:c r="L187" s="92"/>
      <x:c r="M187" s="92"/>
      <x:c r="N187" s="95"/>
      <x:c r="O187" s="101"/>
      <x:c r="P187" s="101"/>
      <x:c r="Q187" s="101"/>
      <x:c r="R187" s="104" t="str">
        <x:f>IF(OR(P187="",D187=""),"",P187+IFERROR(VLOOKUP(D187,'Cấu hình'!$E$12:$G$15,3,FALSE),0))</x:f>
      </x:c>
      <x:c r="S187" s="101"/>
      <x:c r="T187" s="107"/>
      <x:c r="U187" s="113" t="str">
        <x:f>IF(A187="","",IF(S187&lt;&gt;"",0,IF(I187&lt;&gt;"",I187-TODAY(),IF(R187&lt;&gt;"",R187-TODAY(),""))))</x:f>
      </x:c>
      <x:c r="V187" s="113" t="str">
        <x:f>IF(A187="","",IF(S187&lt;&gt;"",MAX(0,S187-IF(I187&lt;&gt;"",I187,R187)),IF(OR(I187&lt;&gt;"",R187&lt;&gt;""),MAX(0,TODAY()-IF(I187&lt;&gt;"",I187,R187)),0)))</x:f>
      </x:c>
      <x:c r="W187" s="95"/>
      <x:c r="X187" s="95"/>
      <x:c r="Y187" s="92"/>
      <x:c r="Z187" s="92"/>
      <x:c r="AA187" s="92"/>
      <x:c r="AB187" s="92"/>
      <x:c r="AC187" s="113" t="str">
        <x:f>IF(A187="","",IF(P187="","",IF(S187&lt;&gt;"",S187-P187,TODAY()-P187)))</x:f>
      </x:c>
    </x:row>
    <x:row r="188" ht="28" customHeight="1">
      <x:c r="A188" s="92"/>
      <x:c r="B188" s="95"/>
      <x:c r="C188" s="92"/>
      <x:c r="D188" s="92"/>
      <x:c r="E188" s="92"/>
      <x:c r="F188" s="92"/>
      <x:c r="G188" s="92"/>
      <x:c r="H188" s="92"/>
      <x:c r="I188" s="101"/>
      <x:c r="J188" s="107"/>
      <x:c r="K188" s="110" t="str">
        <x:f>IF(A188="","",IFERROR(VLOOKUP(C188,'Cấu hình'!$A$12:$D$19,2,FALSE),0))</x:f>
      </x:c>
      <x:c r="L188" s="92"/>
      <x:c r="M188" s="92"/>
      <x:c r="N188" s="95"/>
      <x:c r="O188" s="101"/>
      <x:c r="P188" s="101"/>
      <x:c r="Q188" s="101"/>
      <x:c r="R188" s="104" t="str">
        <x:f>IF(OR(P188="",D188=""),"",P188+IFERROR(VLOOKUP(D188,'Cấu hình'!$E$12:$G$15,3,FALSE),0))</x:f>
      </x:c>
      <x:c r="S188" s="101"/>
      <x:c r="T188" s="107"/>
      <x:c r="U188" s="113" t="str">
        <x:f>IF(A188="","",IF(S188&lt;&gt;"",0,IF(I188&lt;&gt;"",I188-TODAY(),IF(R188&lt;&gt;"",R188-TODAY(),""))))</x:f>
      </x:c>
      <x:c r="V188" s="113" t="str">
        <x:f>IF(A188="","",IF(S188&lt;&gt;"",MAX(0,S188-IF(I188&lt;&gt;"",I188,R188)),IF(OR(I188&lt;&gt;"",R188&lt;&gt;""),MAX(0,TODAY()-IF(I188&lt;&gt;"",I188,R188)),0)))</x:f>
      </x:c>
      <x:c r="W188" s="95"/>
      <x:c r="X188" s="95"/>
      <x:c r="Y188" s="92"/>
      <x:c r="Z188" s="92"/>
      <x:c r="AA188" s="92"/>
      <x:c r="AB188" s="92"/>
      <x:c r="AC188" s="113" t="str">
        <x:f>IF(A188="","",IF(P188="","",IF(S188&lt;&gt;"",S188-P188,TODAY()-P188)))</x:f>
      </x:c>
    </x:row>
    <x:row r="189" ht="28" customHeight="1">
      <x:c r="A189" s="92"/>
      <x:c r="B189" s="95"/>
      <x:c r="C189" s="92"/>
      <x:c r="D189" s="92"/>
      <x:c r="E189" s="92"/>
      <x:c r="F189" s="92"/>
      <x:c r="G189" s="92"/>
      <x:c r="H189" s="92"/>
      <x:c r="I189" s="101"/>
      <x:c r="J189" s="107"/>
      <x:c r="K189" s="110" t="str">
        <x:f>IF(A189="","",IFERROR(VLOOKUP(C189,'Cấu hình'!$A$12:$D$19,2,FALSE),0))</x:f>
      </x:c>
      <x:c r="L189" s="92"/>
      <x:c r="M189" s="92"/>
      <x:c r="N189" s="95"/>
      <x:c r="O189" s="101"/>
      <x:c r="P189" s="101"/>
      <x:c r="Q189" s="101"/>
      <x:c r="R189" s="104" t="str">
        <x:f>IF(OR(P189="",D189=""),"",P189+IFERROR(VLOOKUP(D189,'Cấu hình'!$E$12:$G$15,3,FALSE),0))</x:f>
      </x:c>
      <x:c r="S189" s="101"/>
      <x:c r="T189" s="107"/>
      <x:c r="U189" s="113" t="str">
        <x:f>IF(A189="","",IF(S189&lt;&gt;"",0,IF(I189&lt;&gt;"",I189-TODAY(),IF(R189&lt;&gt;"",R189-TODAY(),""))))</x:f>
      </x:c>
      <x:c r="V189" s="113" t="str">
        <x:f>IF(A189="","",IF(S189&lt;&gt;"",MAX(0,S189-IF(I189&lt;&gt;"",I189,R189)),IF(OR(I189&lt;&gt;"",R189&lt;&gt;""),MAX(0,TODAY()-IF(I189&lt;&gt;"",I189,R189)),0)))</x:f>
      </x:c>
      <x:c r="W189" s="95"/>
      <x:c r="X189" s="95"/>
      <x:c r="Y189" s="92"/>
      <x:c r="Z189" s="92"/>
      <x:c r="AA189" s="92"/>
      <x:c r="AB189" s="92"/>
      <x:c r="AC189" s="113" t="str">
        <x:f>IF(A189="","",IF(P189="","",IF(S189&lt;&gt;"",S189-P189,TODAY()-P189)))</x:f>
      </x:c>
    </x:row>
    <x:row r="190" ht="28" customHeight="1">
      <x:c r="A190" s="92"/>
      <x:c r="B190" s="95"/>
      <x:c r="C190" s="92"/>
      <x:c r="D190" s="92"/>
      <x:c r="E190" s="92"/>
      <x:c r="F190" s="92"/>
      <x:c r="G190" s="92"/>
      <x:c r="H190" s="92"/>
      <x:c r="I190" s="101"/>
      <x:c r="J190" s="107"/>
      <x:c r="K190" s="110" t="str">
        <x:f>IF(A190="","",IFERROR(VLOOKUP(C190,'Cấu hình'!$A$12:$D$19,2,FALSE),0))</x:f>
      </x:c>
      <x:c r="L190" s="92"/>
      <x:c r="M190" s="92"/>
      <x:c r="N190" s="95"/>
      <x:c r="O190" s="101"/>
      <x:c r="P190" s="101"/>
      <x:c r="Q190" s="101"/>
      <x:c r="R190" s="104" t="str">
        <x:f>IF(OR(P190="",D190=""),"",P190+IFERROR(VLOOKUP(D190,'Cấu hình'!$E$12:$G$15,3,FALSE),0))</x:f>
      </x:c>
      <x:c r="S190" s="101"/>
      <x:c r="T190" s="107"/>
      <x:c r="U190" s="113" t="str">
        <x:f>IF(A190="","",IF(S190&lt;&gt;"",0,IF(I190&lt;&gt;"",I190-TODAY(),IF(R190&lt;&gt;"",R190-TODAY(),""))))</x:f>
      </x:c>
      <x:c r="V190" s="113" t="str">
        <x:f>IF(A190="","",IF(S190&lt;&gt;"",MAX(0,S190-IF(I190&lt;&gt;"",I190,R190)),IF(OR(I190&lt;&gt;"",R190&lt;&gt;""),MAX(0,TODAY()-IF(I190&lt;&gt;"",I190,R190)),0)))</x:f>
      </x:c>
      <x:c r="W190" s="95"/>
      <x:c r="X190" s="95"/>
      <x:c r="Y190" s="92"/>
      <x:c r="Z190" s="92"/>
      <x:c r="AA190" s="92"/>
      <x:c r="AB190" s="92"/>
      <x:c r="AC190" s="113" t="str">
        <x:f>IF(A190="","",IF(P190="","",IF(S190&lt;&gt;"",S190-P190,TODAY()-P190)))</x:f>
      </x:c>
    </x:row>
    <x:row r="191" ht="28" customHeight="1">
      <x:c r="A191" s="92"/>
      <x:c r="B191" s="95"/>
      <x:c r="C191" s="92"/>
      <x:c r="D191" s="92"/>
      <x:c r="E191" s="92"/>
      <x:c r="F191" s="92"/>
      <x:c r="G191" s="92"/>
      <x:c r="H191" s="92"/>
      <x:c r="I191" s="101"/>
      <x:c r="J191" s="107"/>
      <x:c r="K191" s="110" t="str">
        <x:f>IF(A191="","",IFERROR(VLOOKUP(C191,'Cấu hình'!$A$12:$D$19,2,FALSE),0))</x:f>
      </x:c>
      <x:c r="L191" s="92"/>
      <x:c r="M191" s="92"/>
      <x:c r="N191" s="95"/>
      <x:c r="O191" s="101"/>
      <x:c r="P191" s="101"/>
      <x:c r="Q191" s="101"/>
      <x:c r="R191" s="104" t="str">
        <x:f>IF(OR(P191="",D191=""),"",P191+IFERROR(VLOOKUP(D191,'Cấu hình'!$E$12:$G$15,3,FALSE),0))</x:f>
      </x:c>
      <x:c r="S191" s="101"/>
      <x:c r="T191" s="107"/>
      <x:c r="U191" s="113" t="str">
        <x:f>IF(A191="","",IF(S191&lt;&gt;"",0,IF(I191&lt;&gt;"",I191-TODAY(),IF(R191&lt;&gt;"",R191-TODAY(),""))))</x:f>
      </x:c>
      <x:c r="V191" s="113" t="str">
        <x:f>IF(A191="","",IF(S191&lt;&gt;"",MAX(0,S191-IF(I191&lt;&gt;"",I191,R191)),IF(OR(I191&lt;&gt;"",R191&lt;&gt;""),MAX(0,TODAY()-IF(I191&lt;&gt;"",I191,R191)),0)))</x:f>
      </x:c>
      <x:c r="W191" s="95"/>
      <x:c r="X191" s="95"/>
      <x:c r="Y191" s="92"/>
      <x:c r="Z191" s="92"/>
      <x:c r="AA191" s="92"/>
      <x:c r="AB191" s="92"/>
      <x:c r="AC191" s="113" t="str">
        <x:f>IF(A191="","",IF(P191="","",IF(S191&lt;&gt;"",S191-P191,TODAY()-P191)))</x:f>
      </x:c>
    </x:row>
    <x:row r="192" ht="28" customHeight="1">
      <x:c r="A192" s="92"/>
      <x:c r="B192" s="95"/>
      <x:c r="C192" s="92"/>
      <x:c r="D192" s="92"/>
      <x:c r="E192" s="92"/>
      <x:c r="F192" s="92"/>
      <x:c r="G192" s="92"/>
      <x:c r="H192" s="92"/>
      <x:c r="I192" s="101"/>
      <x:c r="J192" s="107"/>
      <x:c r="K192" s="110" t="str">
        <x:f>IF(A192="","",IFERROR(VLOOKUP(C192,'Cấu hình'!$A$12:$D$19,2,FALSE),0))</x:f>
      </x:c>
      <x:c r="L192" s="92"/>
      <x:c r="M192" s="92"/>
      <x:c r="N192" s="95"/>
      <x:c r="O192" s="101"/>
      <x:c r="P192" s="101"/>
      <x:c r="Q192" s="101"/>
      <x:c r="R192" s="104" t="str">
        <x:f>IF(OR(P192="",D192=""),"",P192+IFERROR(VLOOKUP(D192,'Cấu hình'!$E$12:$G$15,3,FALSE),0))</x:f>
      </x:c>
      <x:c r="S192" s="101"/>
      <x:c r="T192" s="107"/>
      <x:c r="U192" s="113" t="str">
        <x:f>IF(A192="","",IF(S192&lt;&gt;"",0,IF(I192&lt;&gt;"",I192-TODAY(),IF(R192&lt;&gt;"",R192-TODAY(),""))))</x:f>
      </x:c>
      <x:c r="V192" s="113" t="str">
        <x:f>IF(A192="","",IF(S192&lt;&gt;"",MAX(0,S192-IF(I192&lt;&gt;"",I192,R192)),IF(OR(I192&lt;&gt;"",R192&lt;&gt;""),MAX(0,TODAY()-IF(I192&lt;&gt;"",I192,R192)),0)))</x:f>
      </x:c>
      <x:c r="W192" s="95"/>
      <x:c r="X192" s="95"/>
      <x:c r="Y192" s="92"/>
      <x:c r="Z192" s="92"/>
      <x:c r="AA192" s="92"/>
      <x:c r="AB192" s="92"/>
      <x:c r="AC192" s="113" t="str">
        <x:f>IF(A192="","",IF(P192="","",IF(S192&lt;&gt;"",S192-P192,TODAY()-P192)))</x:f>
      </x:c>
    </x:row>
    <x:row r="193" ht="28" customHeight="1">
      <x:c r="A193" s="92"/>
      <x:c r="B193" s="95"/>
      <x:c r="C193" s="92"/>
      <x:c r="D193" s="92"/>
      <x:c r="E193" s="92"/>
      <x:c r="F193" s="92"/>
      <x:c r="G193" s="92"/>
      <x:c r="H193" s="92"/>
      <x:c r="I193" s="101"/>
      <x:c r="J193" s="107"/>
      <x:c r="K193" s="110" t="str">
        <x:f>IF(A193="","",IFERROR(VLOOKUP(C193,'Cấu hình'!$A$12:$D$19,2,FALSE),0))</x:f>
      </x:c>
      <x:c r="L193" s="92"/>
      <x:c r="M193" s="92"/>
      <x:c r="N193" s="95"/>
      <x:c r="O193" s="101"/>
      <x:c r="P193" s="101"/>
      <x:c r="Q193" s="101"/>
      <x:c r="R193" s="104" t="str">
        <x:f>IF(OR(P193="",D193=""),"",P193+IFERROR(VLOOKUP(D193,'Cấu hình'!$E$12:$G$15,3,FALSE),0))</x:f>
      </x:c>
      <x:c r="S193" s="101"/>
      <x:c r="T193" s="107"/>
      <x:c r="U193" s="113" t="str">
        <x:f>IF(A193="","",IF(S193&lt;&gt;"",0,IF(I193&lt;&gt;"",I193-TODAY(),IF(R193&lt;&gt;"",R193-TODAY(),""))))</x:f>
      </x:c>
      <x:c r="V193" s="113" t="str">
        <x:f>IF(A193="","",IF(S193&lt;&gt;"",MAX(0,S193-IF(I193&lt;&gt;"",I193,R193)),IF(OR(I193&lt;&gt;"",R193&lt;&gt;""),MAX(0,TODAY()-IF(I193&lt;&gt;"",I193,R193)),0)))</x:f>
      </x:c>
      <x:c r="W193" s="95"/>
      <x:c r="X193" s="95"/>
      <x:c r="Y193" s="92"/>
      <x:c r="Z193" s="92"/>
      <x:c r="AA193" s="92"/>
      <x:c r="AB193" s="92"/>
      <x:c r="AC193" s="113" t="str">
        <x:f>IF(A193="","",IF(P193="","",IF(S193&lt;&gt;"",S193-P193,TODAY()-P193)))</x:f>
      </x:c>
    </x:row>
    <x:row r="194" ht="28" customHeight="1">
      <x:c r="A194" s="92"/>
      <x:c r="B194" s="95"/>
      <x:c r="C194" s="92"/>
      <x:c r="D194" s="92"/>
      <x:c r="E194" s="92"/>
      <x:c r="F194" s="92"/>
      <x:c r="G194" s="92"/>
      <x:c r="H194" s="92"/>
      <x:c r="I194" s="101"/>
      <x:c r="J194" s="107"/>
      <x:c r="K194" s="110" t="str">
        <x:f>IF(A194="","",IFERROR(VLOOKUP(C194,'Cấu hình'!$A$12:$D$19,2,FALSE),0))</x:f>
      </x:c>
      <x:c r="L194" s="92"/>
      <x:c r="M194" s="92"/>
      <x:c r="N194" s="95"/>
      <x:c r="O194" s="101"/>
      <x:c r="P194" s="101"/>
      <x:c r="Q194" s="101"/>
      <x:c r="R194" s="104" t="str">
        <x:f>IF(OR(P194="",D194=""),"",P194+IFERROR(VLOOKUP(D194,'Cấu hình'!$E$12:$G$15,3,FALSE),0))</x:f>
      </x:c>
      <x:c r="S194" s="101"/>
      <x:c r="T194" s="107"/>
      <x:c r="U194" s="113" t="str">
        <x:f>IF(A194="","",IF(S194&lt;&gt;"",0,IF(I194&lt;&gt;"",I194-TODAY(),IF(R194&lt;&gt;"",R194-TODAY(),""))))</x:f>
      </x:c>
      <x:c r="V194" s="113" t="str">
        <x:f>IF(A194="","",IF(S194&lt;&gt;"",MAX(0,S194-IF(I194&lt;&gt;"",I194,R194)),IF(OR(I194&lt;&gt;"",R194&lt;&gt;""),MAX(0,TODAY()-IF(I194&lt;&gt;"",I194,R194)),0)))</x:f>
      </x:c>
      <x:c r="W194" s="95"/>
      <x:c r="X194" s="95"/>
      <x:c r="Y194" s="92"/>
      <x:c r="Z194" s="92"/>
      <x:c r="AA194" s="92"/>
      <x:c r="AB194" s="92"/>
      <x:c r="AC194" s="113" t="str">
        <x:f>IF(A194="","",IF(P194="","",IF(S194&lt;&gt;"",S194-P194,TODAY()-P194)))</x:f>
      </x:c>
    </x:row>
    <x:row r="195" ht="28" customHeight="1">
      <x:c r="A195" s="92"/>
      <x:c r="B195" s="95"/>
      <x:c r="C195" s="92"/>
      <x:c r="D195" s="92"/>
      <x:c r="E195" s="92"/>
      <x:c r="F195" s="92"/>
      <x:c r="G195" s="92"/>
      <x:c r="H195" s="92"/>
      <x:c r="I195" s="101"/>
      <x:c r="J195" s="107"/>
      <x:c r="K195" s="110" t="str">
        <x:f>IF(A195="","",IFERROR(VLOOKUP(C195,'Cấu hình'!$A$12:$D$19,2,FALSE),0))</x:f>
      </x:c>
      <x:c r="L195" s="92"/>
      <x:c r="M195" s="92"/>
      <x:c r="N195" s="95"/>
      <x:c r="O195" s="101"/>
      <x:c r="P195" s="101"/>
      <x:c r="Q195" s="101"/>
      <x:c r="R195" s="104" t="str">
        <x:f>IF(OR(P195="",D195=""),"",P195+IFERROR(VLOOKUP(D195,'Cấu hình'!$E$12:$G$15,3,FALSE),0))</x:f>
      </x:c>
      <x:c r="S195" s="101"/>
      <x:c r="T195" s="107"/>
      <x:c r="U195" s="113" t="str">
        <x:f>IF(A195="","",IF(S195&lt;&gt;"",0,IF(I195&lt;&gt;"",I195-TODAY(),IF(R195&lt;&gt;"",R195-TODAY(),""))))</x:f>
      </x:c>
      <x:c r="V195" s="113" t="str">
        <x:f>IF(A195="","",IF(S195&lt;&gt;"",MAX(0,S195-IF(I195&lt;&gt;"",I195,R195)),IF(OR(I195&lt;&gt;"",R195&lt;&gt;""),MAX(0,TODAY()-IF(I195&lt;&gt;"",I195,R195)),0)))</x:f>
      </x:c>
      <x:c r="W195" s="95"/>
      <x:c r="X195" s="95"/>
      <x:c r="Y195" s="92"/>
      <x:c r="Z195" s="92"/>
      <x:c r="AA195" s="92"/>
      <x:c r="AB195" s="92"/>
      <x:c r="AC195" s="113" t="str">
        <x:f>IF(A195="","",IF(P195="","",IF(S195&lt;&gt;"",S195-P195,TODAY()-P195)))</x:f>
      </x:c>
    </x:row>
    <x:row r="196" ht="28" customHeight="1">
      <x:c r="A196" s="92"/>
      <x:c r="B196" s="95"/>
      <x:c r="C196" s="92"/>
      <x:c r="D196" s="92"/>
      <x:c r="E196" s="92"/>
      <x:c r="F196" s="92"/>
      <x:c r="G196" s="92"/>
      <x:c r="H196" s="92"/>
      <x:c r="I196" s="101"/>
      <x:c r="J196" s="107"/>
      <x:c r="K196" s="110" t="str">
        <x:f>IF(A196="","",IFERROR(VLOOKUP(C196,'Cấu hình'!$A$12:$D$19,2,FALSE),0))</x:f>
      </x:c>
      <x:c r="L196" s="92"/>
      <x:c r="M196" s="92"/>
      <x:c r="N196" s="95"/>
      <x:c r="O196" s="101"/>
      <x:c r="P196" s="101"/>
      <x:c r="Q196" s="101"/>
      <x:c r="R196" s="104" t="str">
        <x:f>IF(OR(P196="",D196=""),"",P196+IFERROR(VLOOKUP(D196,'Cấu hình'!$E$12:$G$15,3,FALSE),0))</x:f>
      </x:c>
      <x:c r="S196" s="101"/>
      <x:c r="T196" s="107"/>
      <x:c r="U196" s="113" t="str">
        <x:f>IF(A196="","",IF(S196&lt;&gt;"",0,IF(I196&lt;&gt;"",I196-TODAY(),IF(R196&lt;&gt;"",R196-TODAY(),""))))</x:f>
      </x:c>
      <x:c r="V196" s="113" t="str">
        <x:f>IF(A196="","",IF(S196&lt;&gt;"",MAX(0,S196-IF(I196&lt;&gt;"",I196,R196)),IF(OR(I196&lt;&gt;"",R196&lt;&gt;""),MAX(0,TODAY()-IF(I196&lt;&gt;"",I196,R196)),0)))</x:f>
      </x:c>
      <x:c r="W196" s="95"/>
      <x:c r="X196" s="95"/>
      <x:c r="Y196" s="92"/>
      <x:c r="Z196" s="92"/>
      <x:c r="AA196" s="92"/>
      <x:c r="AB196" s="92"/>
      <x:c r="AC196" s="113" t="str">
        <x:f>IF(A196="","",IF(P196="","",IF(S196&lt;&gt;"",S196-P196,TODAY()-P196)))</x:f>
      </x:c>
    </x:row>
    <x:row r="197" ht="28" customHeight="1">
      <x:c r="A197" s="92"/>
      <x:c r="B197" s="95"/>
      <x:c r="C197" s="92"/>
      <x:c r="D197" s="92"/>
      <x:c r="E197" s="92"/>
      <x:c r="F197" s="92"/>
      <x:c r="G197" s="92"/>
      <x:c r="H197" s="92"/>
      <x:c r="I197" s="101"/>
      <x:c r="J197" s="107"/>
      <x:c r="K197" s="110" t="str">
        <x:f>IF(A197="","",IFERROR(VLOOKUP(C197,'Cấu hình'!$A$12:$D$19,2,FALSE),0))</x:f>
      </x:c>
      <x:c r="L197" s="92"/>
      <x:c r="M197" s="92"/>
      <x:c r="N197" s="95"/>
      <x:c r="O197" s="101"/>
      <x:c r="P197" s="101"/>
      <x:c r="Q197" s="101"/>
      <x:c r="R197" s="104" t="str">
        <x:f>IF(OR(P197="",D197=""),"",P197+IFERROR(VLOOKUP(D197,'Cấu hình'!$E$12:$G$15,3,FALSE),0))</x:f>
      </x:c>
      <x:c r="S197" s="101"/>
      <x:c r="T197" s="107"/>
      <x:c r="U197" s="113" t="str">
        <x:f>IF(A197="","",IF(S197&lt;&gt;"",0,IF(I197&lt;&gt;"",I197-TODAY(),IF(R197&lt;&gt;"",R197-TODAY(),""))))</x:f>
      </x:c>
      <x:c r="V197" s="113" t="str">
        <x:f>IF(A197="","",IF(S197&lt;&gt;"",MAX(0,S197-IF(I197&lt;&gt;"",I197,R197)),IF(OR(I197&lt;&gt;"",R197&lt;&gt;""),MAX(0,TODAY()-IF(I197&lt;&gt;"",I197,R197)),0)))</x:f>
      </x:c>
      <x:c r="W197" s="95"/>
      <x:c r="X197" s="95"/>
      <x:c r="Y197" s="92"/>
      <x:c r="Z197" s="92"/>
      <x:c r="AA197" s="92"/>
      <x:c r="AB197" s="92"/>
      <x:c r="AC197" s="113" t="str">
        <x:f>IF(A197="","",IF(P197="","",IF(S197&lt;&gt;"",S197-P197,TODAY()-P197)))</x:f>
      </x:c>
    </x:row>
    <x:row r="198" ht="28" customHeight="1">
      <x:c r="A198" s="92"/>
      <x:c r="B198" s="95"/>
      <x:c r="C198" s="92"/>
      <x:c r="D198" s="92"/>
      <x:c r="E198" s="92"/>
      <x:c r="F198" s="92"/>
      <x:c r="G198" s="92"/>
      <x:c r="H198" s="92"/>
      <x:c r="I198" s="101"/>
      <x:c r="J198" s="107"/>
      <x:c r="K198" s="110" t="str">
        <x:f>IF(A198="","",IFERROR(VLOOKUP(C198,'Cấu hình'!$A$12:$D$19,2,FALSE),0))</x:f>
      </x:c>
      <x:c r="L198" s="92"/>
      <x:c r="M198" s="92"/>
      <x:c r="N198" s="95"/>
      <x:c r="O198" s="101"/>
      <x:c r="P198" s="101"/>
      <x:c r="Q198" s="101"/>
      <x:c r="R198" s="104" t="str">
        <x:f>IF(OR(P198="",D198=""),"",P198+IFERROR(VLOOKUP(D198,'Cấu hình'!$E$12:$G$15,3,FALSE),0))</x:f>
      </x:c>
      <x:c r="S198" s="101"/>
      <x:c r="T198" s="107"/>
      <x:c r="U198" s="113" t="str">
        <x:f>IF(A198="","",IF(S198&lt;&gt;"",0,IF(I198&lt;&gt;"",I198-TODAY(),IF(R198&lt;&gt;"",R198-TODAY(),""))))</x:f>
      </x:c>
      <x:c r="V198" s="113" t="str">
        <x:f>IF(A198="","",IF(S198&lt;&gt;"",MAX(0,S198-IF(I198&lt;&gt;"",I198,R198)),IF(OR(I198&lt;&gt;"",R198&lt;&gt;""),MAX(0,TODAY()-IF(I198&lt;&gt;"",I198,R198)),0)))</x:f>
      </x:c>
      <x:c r="W198" s="95"/>
      <x:c r="X198" s="95"/>
      <x:c r="Y198" s="92"/>
      <x:c r="Z198" s="92"/>
      <x:c r="AA198" s="92"/>
      <x:c r="AB198" s="92"/>
      <x:c r="AC198" s="113" t="str">
        <x:f>IF(A198="","",IF(P198="","",IF(S198&lt;&gt;"",S198-P198,TODAY()-P198)))</x:f>
      </x:c>
    </x:row>
    <x:row r="199" ht="28" customHeight="1">
      <x:c r="A199" s="92"/>
      <x:c r="B199" s="95"/>
      <x:c r="C199" s="92"/>
      <x:c r="D199" s="92"/>
      <x:c r="E199" s="92"/>
      <x:c r="F199" s="92"/>
      <x:c r="G199" s="92"/>
      <x:c r="H199" s="92"/>
      <x:c r="I199" s="101"/>
      <x:c r="J199" s="107"/>
      <x:c r="K199" s="110" t="str">
        <x:f>IF(A199="","",IFERROR(VLOOKUP(C199,'Cấu hình'!$A$12:$D$19,2,FALSE),0))</x:f>
      </x:c>
      <x:c r="L199" s="92"/>
      <x:c r="M199" s="92"/>
      <x:c r="N199" s="95"/>
      <x:c r="O199" s="101"/>
      <x:c r="P199" s="101"/>
      <x:c r="Q199" s="101"/>
      <x:c r="R199" s="104" t="str">
        <x:f>IF(OR(P199="",D199=""),"",P199+IFERROR(VLOOKUP(D199,'Cấu hình'!$E$12:$G$15,3,FALSE),0))</x:f>
      </x:c>
      <x:c r="S199" s="101"/>
      <x:c r="T199" s="107"/>
      <x:c r="U199" s="113" t="str">
        <x:f>IF(A199="","",IF(S199&lt;&gt;"",0,IF(I199&lt;&gt;"",I199-TODAY(),IF(R199&lt;&gt;"",R199-TODAY(),""))))</x:f>
      </x:c>
      <x:c r="V199" s="113" t="str">
        <x:f>IF(A199="","",IF(S199&lt;&gt;"",MAX(0,S199-IF(I199&lt;&gt;"",I199,R199)),IF(OR(I199&lt;&gt;"",R199&lt;&gt;""),MAX(0,TODAY()-IF(I199&lt;&gt;"",I199,R199)),0)))</x:f>
      </x:c>
      <x:c r="W199" s="95"/>
      <x:c r="X199" s="95"/>
      <x:c r="Y199" s="92"/>
      <x:c r="Z199" s="92"/>
      <x:c r="AA199" s="92"/>
      <x:c r="AB199" s="92"/>
      <x:c r="AC199" s="113" t="str">
        <x:f>IF(A199="","",IF(P199="","",IF(S199&lt;&gt;"",S199-P199,TODAY()-P199)))</x:f>
      </x:c>
    </x:row>
    <x:row r="200" ht="28" customHeight="1">
      <x:c r="A200" s="92"/>
      <x:c r="B200" s="95"/>
      <x:c r="C200" s="92"/>
      <x:c r="D200" s="92"/>
      <x:c r="E200" s="92"/>
      <x:c r="F200" s="92"/>
      <x:c r="G200" s="92"/>
      <x:c r="H200" s="92"/>
      <x:c r="I200" s="101"/>
      <x:c r="J200" s="107"/>
      <x:c r="K200" s="110" t="str">
        <x:f>IF(A200="","",IFERROR(VLOOKUP(C200,'Cấu hình'!$A$12:$D$19,2,FALSE),0))</x:f>
      </x:c>
      <x:c r="L200" s="92"/>
      <x:c r="M200" s="92"/>
      <x:c r="N200" s="95"/>
      <x:c r="O200" s="101"/>
      <x:c r="P200" s="101"/>
      <x:c r="Q200" s="101"/>
      <x:c r="R200" s="104" t="str">
        <x:f>IF(OR(P200="",D200=""),"",P200+IFERROR(VLOOKUP(D200,'Cấu hình'!$E$12:$G$15,3,FALSE),0))</x:f>
      </x:c>
      <x:c r="S200" s="101"/>
      <x:c r="T200" s="107"/>
      <x:c r="U200" s="113" t="str">
        <x:f>IF(A200="","",IF(S200&lt;&gt;"",0,IF(I200&lt;&gt;"",I200-TODAY(),IF(R200&lt;&gt;"",R200-TODAY(),""))))</x:f>
      </x:c>
      <x:c r="V200" s="113" t="str">
        <x:f>IF(A200="","",IF(S200&lt;&gt;"",MAX(0,S200-IF(I200&lt;&gt;"",I200,R200)),IF(OR(I200&lt;&gt;"",R200&lt;&gt;""),MAX(0,TODAY()-IF(I200&lt;&gt;"",I200,R200)),0)))</x:f>
      </x:c>
      <x:c r="W200" s="95"/>
      <x:c r="X200" s="95"/>
      <x:c r="Y200" s="92"/>
      <x:c r="Z200" s="92"/>
      <x:c r="AA200" s="92"/>
      <x:c r="AB200" s="92"/>
      <x:c r="AC200" s="113" t="str">
        <x:f>IF(A200="","",IF(P200="","",IF(S200&lt;&gt;"",S200-P200,TODAY()-P200)))</x:f>
      </x:c>
    </x:row>
    <x:row r="201" ht="28" customHeight="1">
      <x:c r="A201" s="92"/>
      <x:c r="B201" s="95"/>
      <x:c r="C201" s="92"/>
      <x:c r="D201" s="92"/>
      <x:c r="E201" s="92"/>
      <x:c r="F201" s="92"/>
      <x:c r="G201" s="92"/>
      <x:c r="H201" s="92"/>
      <x:c r="I201" s="101"/>
      <x:c r="J201" s="107"/>
      <x:c r="K201" s="110" t="str">
        <x:f>IF(A201="","",IFERROR(VLOOKUP(C201,'Cấu hình'!$A$12:$D$19,2,FALSE),0))</x:f>
      </x:c>
      <x:c r="L201" s="92"/>
      <x:c r="M201" s="92"/>
      <x:c r="N201" s="95"/>
      <x:c r="O201" s="101"/>
      <x:c r="P201" s="101"/>
      <x:c r="Q201" s="101"/>
      <x:c r="R201" s="104" t="str">
        <x:f>IF(OR(P201="",D201=""),"",P201+IFERROR(VLOOKUP(D201,'Cấu hình'!$E$12:$G$15,3,FALSE),0))</x:f>
      </x:c>
      <x:c r="S201" s="101"/>
      <x:c r="T201" s="107"/>
      <x:c r="U201" s="113" t="str">
        <x:f>IF(A201="","",IF(S201&lt;&gt;"",0,IF(I201&lt;&gt;"",I201-TODAY(),IF(R201&lt;&gt;"",R201-TODAY(),""))))</x:f>
      </x:c>
      <x:c r="V201" s="113" t="str">
        <x:f>IF(A201="","",IF(S201&lt;&gt;"",MAX(0,S201-IF(I201&lt;&gt;"",I201,R201)),IF(OR(I201&lt;&gt;"",R201&lt;&gt;""),MAX(0,TODAY()-IF(I201&lt;&gt;"",I201,R201)),0)))</x:f>
      </x:c>
      <x:c r="W201" s="95"/>
      <x:c r="X201" s="95"/>
      <x:c r="Y201" s="92"/>
      <x:c r="Z201" s="92"/>
      <x:c r="AA201" s="92"/>
      <x:c r="AB201" s="92"/>
      <x:c r="AC201" s="113" t="str">
        <x:f>IF(A201="","",IF(P201="","",IF(S201&lt;&gt;"",S201-P201,TODAY()-P201)))</x:f>
      </x:c>
    </x:row>
    <x:row r="202" ht="28" customHeight="1">
      <x:c r="A202" s="92"/>
      <x:c r="B202" s="95"/>
      <x:c r="C202" s="92"/>
      <x:c r="D202" s="92"/>
      <x:c r="E202" s="92"/>
      <x:c r="F202" s="92"/>
      <x:c r="G202" s="92"/>
      <x:c r="H202" s="92"/>
      <x:c r="I202" s="101"/>
      <x:c r="J202" s="107"/>
      <x:c r="K202" s="110" t="str">
        <x:f>IF(A202="","",IFERROR(VLOOKUP(C202,'Cấu hình'!$A$12:$D$19,2,FALSE),0))</x:f>
      </x:c>
      <x:c r="L202" s="92"/>
      <x:c r="M202" s="92"/>
      <x:c r="N202" s="95"/>
      <x:c r="O202" s="101"/>
      <x:c r="P202" s="101"/>
      <x:c r="Q202" s="101"/>
      <x:c r="R202" s="104" t="str">
        <x:f>IF(OR(P202="",D202=""),"",P202+IFERROR(VLOOKUP(D202,'Cấu hình'!$E$12:$G$15,3,FALSE),0))</x:f>
      </x:c>
      <x:c r="S202" s="101"/>
      <x:c r="T202" s="107"/>
      <x:c r="U202" s="113" t="str">
        <x:f>IF(A202="","",IF(S202&lt;&gt;"",0,IF(I202&lt;&gt;"",I202-TODAY(),IF(R202&lt;&gt;"",R202-TODAY(),""))))</x:f>
      </x:c>
      <x:c r="V202" s="113" t="str">
        <x:f>IF(A202="","",IF(S202&lt;&gt;"",MAX(0,S202-IF(I202&lt;&gt;"",I202,R202)),IF(OR(I202&lt;&gt;"",R202&lt;&gt;""),MAX(0,TODAY()-IF(I202&lt;&gt;"",I202,R202)),0)))</x:f>
      </x:c>
      <x:c r="W202" s="95"/>
      <x:c r="X202" s="95"/>
      <x:c r="Y202" s="92"/>
      <x:c r="Z202" s="92"/>
      <x:c r="AA202" s="92"/>
      <x:c r="AB202" s="92"/>
      <x:c r="AC202" s="113" t="str">
        <x:f>IF(A202="","",IF(P202="","",IF(S202&lt;&gt;"",S202-P202,TODAY()-P202)))</x:f>
      </x:c>
    </x:row>
    <x:row r="203" ht="28" customHeight="1">
      <x:c r="A203" s="92"/>
      <x:c r="B203" s="95"/>
      <x:c r="C203" s="92"/>
      <x:c r="D203" s="92"/>
      <x:c r="E203" s="92"/>
      <x:c r="F203" s="92"/>
      <x:c r="G203" s="92"/>
      <x:c r="H203" s="92"/>
      <x:c r="I203" s="101"/>
      <x:c r="J203" s="107"/>
      <x:c r="K203" s="110" t="str">
        <x:f>IF(A203="","",IFERROR(VLOOKUP(C203,'Cấu hình'!$A$12:$D$19,2,FALSE),0))</x:f>
      </x:c>
      <x:c r="L203" s="92"/>
      <x:c r="M203" s="92"/>
      <x:c r="N203" s="95"/>
      <x:c r="O203" s="101"/>
      <x:c r="P203" s="101"/>
      <x:c r="Q203" s="101"/>
      <x:c r="R203" s="104" t="str">
        <x:f>IF(OR(P203="",D203=""),"",P203+IFERROR(VLOOKUP(D203,'Cấu hình'!$E$12:$G$15,3,FALSE),0))</x:f>
      </x:c>
      <x:c r="S203" s="101"/>
      <x:c r="T203" s="107"/>
      <x:c r="U203" s="113" t="str">
        <x:f>IF(A203="","",IF(S203&lt;&gt;"",0,IF(I203&lt;&gt;"",I203-TODAY(),IF(R203&lt;&gt;"",R203-TODAY(),""))))</x:f>
      </x:c>
      <x:c r="V203" s="113" t="str">
        <x:f>IF(A203="","",IF(S203&lt;&gt;"",MAX(0,S203-IF(I203&lt;&gt;"",I203,R203)),IF(OR(I203&lt;&gt;"",R203&lt;&gt;""),MAX(0,TODAY()-IF(I203&lt;&gt;"",I203,R203)),0)))</x:f>
      </x:c>
      <x:c r="W203" s="95"/>
      <x:c r="X203" s="95"/>
      <x:c r="Y203" s="92"/>
      <x:c r="Z203" s="92"/>
      <x:c r="AA203" s="92"/>
      <x:c r="AB203" s="92"/>
      <x:c r="AC203" s="113" t="str">
        <x:f>IF(A203="","",IF(P203="","",IF(S203&lt;&gt;"",S203-P203,TODAY()-P203)))</x:f>
      </x:c>
    </x:row>
    <x:row r="204" ht="28" customHeight="1">
      <x:c r="A204" s="92"/>
      <x:c r="B204" s="95"/>
      <x:c r="C204" s="92"/>
      <x:c r="D204" s="92"/>
      <x:c r="E204" s="92"/>
      <x:c r="F204" s="92"/>
      <x:c r="G204" s="92"/>
      <x:c r="H204" s="92"/>
      <x:c r="I204" s="101"/>
      <x:c r="J204" s="107"/>
      <x:c r="K204" s="110" t="str">
        <x:f>IF(A204="","",IFERROR(VLOOKUP(C204,'Cấu hình'!$A$12:$D$19,2,FALSE),0))</x:f>
      </x:c>
      <x:c r="L204" s="92"/>
      <x:c r="M204" s="92"/>
      <x:c r="N204" s="95"/>
      <x:c r="O204" s="101"/>
      <x:c r="P204" s="101"/>
      <x:c r="Q204" s="101"/>
      <x:c r="R204" s="104" t="str">
        <x:f>IF(OR(P204="",D204=""),"",P204+IFERROR(VLOOKUP(D204,'Cấu hình'!$E$12:$G$15,3,FALSE),0))</x:f>
      </x:c>
      <x:c r="S204" s="101"/>
      <x:c r="T204" s="107"/>
      <x:c r="U204" s="113" t="str">
        <x:f>IF(A204="","",IF(S204&lt;&gt;"",0,IF(I204&lt;&gt;"",I204-TODAY(),IF(R204&lt;&gt;"",R204-TODAY(),""))))</x:f>
      </x:c>
      <x:c r="V204" s="113" t="str">
        <x:f>IF(A204="","",IF(S204&lt;&gt;"",MAX(0,S204-IF(I204&lt;&gt;"",I204,R204)),IF(OR(I204&lt;&gt;"",R204&lt;&gt;""),MAX(0,TODAY()-IF(I204&lt;&gt;"",I204,R204)),0)))</x:f>
      </x:c>
      <x:c r="W204" s="95"/>
      <x:c r="X204" s="95"/>
      <x:c r="Y204" s="92"/>
      <x:c r="Z204" s="92"/>
      <x:c r="AA204" s="92"/>
      <x:c r="AB204" s="92"/>
      <x:c r="AC204" s="113" t="str">
        <x:f>IF(A204="","",IF(P204="","",IF(S204&lt;&gt;"",S204-P204,TODAY()-P204)))</x:f>
      </x:c>
    </x:row>
    <x:row r="205" ht="28" customHeight="1">
      <x:c r="A205" s="93"/>
      <x:c r="B205" s="96"/>
      <x:c r="C205" s="93"/>
      <x:c r="D205" s="93"/>
      <x:c r="E205" s="93"/>
      <x:c r="F205" s="93"/>
      <x:c r="G205" s="93"/>
      <x:c r="H205" s="93"/>
      <x:c r="I205" s="102"/>
      <x:c r="J205" s="108"/>
      <x:c r="K205" s="111" t="str">
        <x:f>IF(A205="","",IFERROR(VLOOKUP(C205,'Cấu hình'!$A$12:$D$19,2,FALSE),0))</x:f>
      </x:c>
      <x:c r="L205" s="93"/>
      <x:c r="M205" s="93"/>
      <x:c r="N205" s="96"/>
      <x:c r="O205" s="102"/>
      <x:c r="P205" s="102"/>
      <x:c r="Q205" s="102"/>
      <x:c r="R205" s="105" t="str">
        <x:f>IF(OR(P205="",D205=""),"",P205+IFERROR(VLOOKUP(D205,'Cấu hình'!$E$12:$G$15,3,FALSE),0))</x:f>
      </x:c>
      <x:c r="S205" s="102"/>
      <x:c r="T205" s="108"/>
      <x:c r="U205" s="114" t="str">
        <x:f>IF(A205="","",IF(S205&lt;&gt;"",0,IF(I205&lt;&gt;"",I205-TODAY(),IF(R205&lt;&gt;"",R205-TODAY(),""))))</x:f>
      </x:c>
      <x:c r="V205" s="114" t="str">
        <x:f>IF(A205="","",IF(S205&lt;&gt;"",MAX(0,S205-IF(I205&lt;&gt;"",I205,R205)),IF(OR(I205&lt;&gt;"",R205&lt;&gt;""),MAX(0,TODAY()-IF(I205&lt;&gt;"",I205,R205)),0)))</x:f>
      </x:c>
      <x:c r="W205" s="96"/>
      <x:c r="X205" s="96"/>
      <x:c r="Y205" s="93"/>
      <x:c r="Z205" s="93"/>
      <x:c r="AA205" s="93"/>
      <x:c r="AB205" s="93"/>
      <x:c r="AC205" s="114" t="str">
        <x:f>IF(A205="","",IF(P205="","",IF(S205&lt;&gt;"",S205-P205,TODAY()-P205)))</x:f>
      </x:c>
    </x:row>
  </x:sheetData>
  <x:mergeCells>
    <x:mergeCell ref="A1:AC1"/>
    <x:mergeCell ref="A2:AC2"/>
    <x:mergeCell ref="A3:AC3"/>
    <x:mergeCell ref="P4:AC4"/>
  </x:mergeCells>
  <x:conditionalFormatting sqref="C6:C205">
    <x:cfRule type="containsText" dxfId="0" priority="1" operator="containsText" text="Done"/>
    <x:cfRule type="containsText" dxfId="1" priority="2" operator="containsText" text="Blocked"/>
    <x:cfRule type="containsText" dxfId="2" priority="3" operator="containsText" text="In Progress"/>
    <x:cfRule type="containsText" dxfId="3" priority="4" operator="containsText" text="Code Review"/>
    <x:cfRule type="containsText" dxfId="4" priority="5" operator="containsText" text="QA"/>
  </x:conditionalFormatting>
  <x:conditionalFormatting sqref="D6:D205">
    <x:cfRule type="containsText" dxfId="5" priority="6" operator="containsText" text="P0"/>
    <x:cfRule type="containsText" dxfId="6" priority="7" operator="containsText" text="P1"/>
  </x:conditionalFormatting>
  <x:conditionalFormatting sqref="V6:V205">
    <x:cfRule type="cellIs" dxfId="7" priority="8" operator="greaterThan">
      <x:formula>0</x:formula>
    </x:cfRule>
  </x:conditionalFormatting>
  <x:conditionalFormatting sqref="L6:L205">
    <x:cfRule type="containsText" dxfId="8" priority="9" operator="containsText" text="Có"/>
  </x:conditionalFormatting>
  <x:conditionalFormatting sqref="AA6:AA205">
    <x:cfRule type="containsText" dxfId="9" priority="10" operator="containsText" text="Cao"/>
  </x:conditionalFormatting>
  <x:conditionalFormatting sqref="K6:K205">
    <x:cfRule type="dataBar" priority="1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{9F90DBC4-1BEB-6A04-2B35-71C5A66B01DE}</x14:id>
        </x:ext>
      </x:extLst>
    </x:cfRule>
  </x:conditionalFormatting>
  <x:dataValidations count="12">
    <x:dataValidation type="list" sqref="G6:G205">
      <x:formula1>'Cấu hình'!$I$12:$I$17</x:formula1>
    </x:dataValidation>
    <x:dataValidation type="list" sqref="D6:D205">
      <x:formula1>'Cấu hình'!$E$12:$E$15</x:formula1>
    </x:dataValidation>
    <x:dataValidation type="list" sqref="C6:C205">
      <x:formula1>'Cấu hình'!$A$12:$A$19</x:formula1>
    </x:dataValidation>
    <x:dataValidation type="list" sqref="F6:F205">
      <x:formula1>'Cấu hình'!$K$12:$K$21</x:formula1>
    </x:dataValidation>
    <x:dataValidation type="list" sqref="E6:E205">
      <x:formula1>'Cấu hình'!$M$12:$M$31</x:formula1>
    </x:dataValidation>
    <x:dataValidation type="list" sqref="AB6:AB205">
      <x:formula1>'Cấu hình'!$M$12:$M$31</x:formula1>
    </x:dataValidation>
    <x:dataValidation type="list" sqref="L6:L205">
      <x:formula1>'Cấu hình'!$Q$12:$Q$13</x:formula1>
    </x:dataValidation>
    <x:dataValidation type="list" sqref="Y6:Y205">
      <x:formula1>'Cấu hình'!$U$12:$U$21</x:formula1>
    </x:dataValidation>
    <x:dataValidation type="list" sqref="AA6:AA205">
      <x:formula1>'Cấu hình'!$S$12:$S$15</x:formula1>
    </x:dataValidation>
    <x:dataValidation type="list" sqref="Z6:Z205">
      <x:formula1>'Cấu hình'!$W$12:$W$15</x:formula1>
    </x:dataValidation>
    <x:dataValidation type="whole" operator="between" sqref="J6:J205">
      <x:formula1>0</x:formula1>
      <x:formula2>100</x:formula2>
    </x:dataValidation>
    <x:dataValidation type="decimal" operator="between" sqref="T6:T205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0a32052b74c46d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9F90DBC4-1BEB-6A04-2B35-71C5A66B01DE}">
            <x14:dataBar gradient="1">
              <x14:cfvo type="min"/>
              <x14:cfvo type="max"/>
              <x14:fillColor rgb="FF2563EB"/>
            </x14:dataBar>
          </x14:cfRule>
          <xm:sqref>K6:K205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13" hidden="0" customWidth="1"/>
    <x:col min="8" max="8" width="17" hidden="0" customWidth="1"/>
    <x:col min="9" max="9" width="13" hidden="0" customWidth="1"/>
    <x:col min="10" max="10" width="11" hidden="0" customWidth="1"/>
    <x:col min="11" max="11" width="12" hidden="0" customWidth="1"/>
    <x:col min="12" max="12" width="11" hidden="0" customWidth="1"/>
    <x:col min="13" max="13" width="18" hidden="0" customWidth="1"/>
    <x:col min="14" max="14" width="42" hidden="0" customWidth="1"/>
    <x:col min="15" max="15" width="14" hidden="0" customWidth="1"/>
    <x:col min="16" max="16" width="13" hidden="0" customWidth="1"/>
    <x:col min="17" max="17" width="13" hidden="0" customWidth="1"/>
    <x:col min="18" max="18" width="12" hidden="0" customWidth="1"/>
    <x:col min="19" max="19" width="13" hidden="0" customWidth="1"/>
    <x:col min="20" max="20" width="12" hidden="0" customWidth="1"/>
    <x:col min="21" max="21" width="13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4" hidden="0" customWidth="1"/>
    <x:col min="27" max="27" width="11" hidden="0" customWidth="1"/>
    <x:col min="28" max="28" width="17" hidden="0" customWidth="1"/>
    <x:col min="29" max="29" width="14" hidden="0" customWidth="1"/>
  </x:cols>
  <x:sheetData>
    <x:row r="1" ht="32" customHeight="1">
      <x:c r="A1" s="45" t="str">
        <x:v>FRONTEND — TASK DATABASE</x:v>
      </x:c>
      <x:c r="B1" s="45" t="str">
        <x:v>FRONTEND — TASK DATABASE</x:v>
      </x:c>
      <x:c r="C1" s="45" t="str">
        <x:v>FRONTEND — TASK DATABASE</x:v>
      </x:c>
      <x:c r="D1" s="45" t="str">
        <x:v>FRONTEND — TASK DATABASE</x:v>
      </x:c>
      <x:c r="E1" s="45" t="str">
        <x:v>FRONTEND — TASK DATABASE</x:v>
      </x:c>
      <x:c r="F1" s="45" t="str">
        <x:v>FRONTEND — TASK DATABASE</x:v>
      </x:c>
      <x:c r="G1" s="45" t="str">
        <x:v>FRONTEND — TASK DATABASE</x:v>
      </x:c>
      <x:c r="H1" s="45" t="str">
        <x:v>FRONTEND — TASK DATABASE</x:v>
      </x:c>
      <x:c r="I1" s="45" t="str">
        <x:v>FRONTEND — TASK DATABASE</x:v>
      </x:c>
      <x:c r="J1" s="45" t="str">
        <x:v>FRONTEND — TASK DATABASE</x:v>
      </x:c>
      <x:c r="K1" s="45" t="str">
        <x:v>FRONTEND — TASK DATABASE</x:v>
      </x:c>
      <x:c r="L1" s="45" t="str">
        <x:v>FRONTEND — TASK DATABASE</x:v>
      </x:c>
      <x:c r="M1" s="45" t="str">
        <x:v>FRONTEND — TASK DATABASE</x:v>
      </x:c>
      <x:c r="N1" s="45" t="str">
        <x:v>FRONTEND — TASK DATABASE</x:v>
      </x:c>
      <x:c r="O1" s="45" t="str">
        <x:v>FRONTEND — TASK DATABASE</x:v>
      </x:c>
      <x:c r="P1" s="45" t="str">
        <x:v>FRONTEND — TASK DATABASE</x:v>
      </x:c>
      <x:c r="Q1" s="45" t="str">
        <x:v>FRONTEND — TASK DATABASE</x:v>
      </x:c>
      <x:c r="R1" s="45" t="str">
        <x:v>FRONTEND — TASK DATABASE</x:v>
      </x:c>
      <x:c r="S1" s="45" t="str">
        <x:v>FRONTEND — TASK DATABASE</x:v>
      </x:c>
      <x:c r="T1" s="45" t="str">
        <x:v>FRONTEND — TASK DATABASE</x:v>
      </x:c>
      <x:c r="U1" s="45" t="str">
        <x:v>FRONTEND — TASK DATABASE</x:v>
      </x:c>
      <x:c r="V1" s="45" t="str">
        <x:v>FRONTEND — TASK DATABASE</x:v>
      </x:c>
      <x:c r="W1" s="45" t="str">
        <x:v>FRONTEND — TASK DATABASE</x:v>
      </x:c>
      <x:c r="X1" s="45" t="str">
        <x:v>FRONTEND — TASK DATABASE</x:v>
      </x:c>
      <x:c r="Y1" s="45" t="str">
        <x:v>FRONTEND — TASK DATABASE</x:v>
      </x:c>
      <x:c r="Z1" s="45" t="str">
        <x:v>FRONTEND — TASK DATABASE</x:v>
      </x:c>
      <x:c r="AA1" s="45" t="str">
        <x:v>FRONTEND — TASK DATABASE</x:v>
      </x:c>
      <x:c r="AB1" s="45" t="str">
        <x:v>FRONTEND — TASK DATABASE</x:v>
      </x:c>
      <x:c r="AC1" s="45" t="str">
        <x:v>FRONTEND — TASK DATABASE</x:v>
      </x:c>
    </x:row>
    <x:row r="2" ht="28" customHeight="1">
      <x:c r="A2" s="47" t="str">
        <x:v>Notion-style task database: điền các ô nền trắng, chọn property bằng dropdown; cột nền xám là công thức tự đồng bộ. Thay hoặc xóa các dòng DEMO trước khi dùng thật.</x:v>
      </x:c>
      <x:c r="B2" s="47" t="str">
        <x:v>Notion-style task database: điền các ô nền trắng, chọn property bằng dropdown; cột nền xám là công thức tự đồng bộ. Thay hoặc xóa các dòng DEMO trước khi dùng thật.</x:v>
      </x:c>
      <x:c r="C2" s="47" t="str">
        <x:v>Notion-style task database: điền các ô nền trắng, chọn property bằng dropdown; cột nền xám là công thức tự đồng bộ. Thay hoặc xóa các dòng DEMO trước khi dùng thật.</x:v>
      </x:c>
      <x:c r="D2" s="47" t="str">
        <x:v>Notion-style task database: điền các ô nền trắng, chọn property bằng dropdown; cột nền xám là công thức tự đồng bộ. Thay hoặc xóa các dòng DEMO trước khi dùng thật.</x:v>
      </x:c>
      <x:c r="E2" s="47" t="str">
        <x:v>Notion-style task database: điền các ô nền trắng, chọn property bằng dropdown; cột nền xám là công thức tự đồng bộ. Thay hoặc xóa các dòng DEMO trước khi dùng thật.</x:v>
      </x:c>
      <x:c r="F2" s="47" t="str">
        <x:v>Notion-style task database: điền các ô nền trắng, chọn property bằng dropdown; cột nền xám là công thức tự đồng bộ. Thay hoặc xóa các dòng DEMO trước khi dùng thật.</x:v>
      </x:c>
      <x:c r="G2" s="47" t="str">
        <x:v>Notion-style task database: điền các ô nền trắng, chọn property bằng dropdown; cột nền xám là công thức tự đồng bộ. Thay hoặc xóa các dòng DEMO trước khi dùng thật.</x:v>
      </x:c>
      <x:c r="H2" s="47" t="str">
        <x:v>Notion-style task database: điền các ô nền trắng, chọn property bằng dropdown; cột nền xám là công thức tự đồng bộ. Thay hoặc xóa các dòng DEMO trước khi dùng thật.</x:v>
      </x:c>
      <x:c r="I2" s="47" t="str">
        <x:v>Notion-style task database: điền các ô nền trắng, chọn property bằng dropdown; cột nền xám là công thức tự đồng bộ. Thay hoặc xóa các dòng DEMO trước khi dùng thật.</x:v>
      </x:c>
      <x:c r="J2" s="47" t="str">
        <x:v>Notion-style task database: điền các ô nền trắng, chọn property bằng dropdown; cột nền xám là công thức tự đồng bộ. Thay hoặc xóa các dòng DEMO trước khi dùng thật.</x:v>
      </x:c>
      <x:c r="K2" s="47" t="str">
        <x:v>Notion-style task database: điền các ô nền trắng, chọn property bằng dropdown; cột nền xám là công thức tự đồng bộ. Thay hoặc xóa các dòng DEMO trước khi dùng thật.</x:v>
      </x:c>
      <x:c r="L2" s="47" t="str">
        <x:v>Notion-style task database: điền các ô nền trắng, chọn property bằng dropdown; cột nền xám là công thức tự đồng bộ. Thay hoặc xóa các dòng DEMO trước khi dùng thật.</x:v>
      </x:c>
      <x:c r="M2" s="47" t="str">
        <x:v>Notion-style task database: điền các ô nền trắng, chọn property bằng dropdown; cột nền xám là công thức tự đồng bộ. Thay hoặc xóa các dòng DEMO trước khi dùng thật.</x:v>
      </x:c>
      <x:c r="N2" s="47" t="str">
        <x:v>Notion-style task database: điền các ô nền trắng, chọn property bằng dropdown; cột nền xám là công thức tự đồng bộ. Thay hoặc xóa các dòng DEMO trước khi dùng thật.</x:v>
      </x:c>
      <x:c r="O2" s="47" t="str">
        <x:v>Notion-style task database: điền các ô nền trắng, chọn property bằng dropdown; cột nền xám là công thức tự đồng bộ. Thay hoặc xóa các dòng DEMO trước khi dùng thật.</x:v>
      </x:c>
      <x:c r="P2" s="47" t="str">
        <x:v>Notion-style task database: điền các ô nền trắng, chọn property bằng dropdown; cột nền xám là công thức tự đồng bộ. Thay hoặc xóa các dòng DEMO trước khi dùng thật.</x:v>
      </x:c>
      <x:c r="Q2" s="47" t="str">
        <x:v>Notion-style task database: điền các ô nền trắng, chọn property bằng dropdown; cột nền xám là công thức tự đồng bộ. Thay hoặc xóa các dòng DEMO trước khi dùng thật.</x:v>
      </x:c>
      <x:c r="R2" s="47" t="str">
        <x:v>Notion-style task database: điền các ô nền trắng, chọn property bằng dropdown; cột nền xám là công thức tự đồng bộ. Thay hoặc xóa các dòng DEMO trước khi dùng thật.</x:v>
      </x:c>
      <x:c r="S2" s="47" t="str">
        <x:v>Notion-style task database: điền các ô nền trắng, chọn property bằng dropdown; cột nền xám là công thức tự đồng bộ. Thay hoặc xóa các dòng DEMO trước khi dùng thật.</x:v>
      </x:c>
      <x:c r="T2" s="47" t="str">
        <x:v>Notion-style task database: điền các ô nền trắng, chọn property bằng dropdown; cột nền xám là công thức tự đồng bộ. Thay hoặc xóa các dòng DEMO trước khi dùng thật.</x:v>
      </x:c>
      <x:c r="U2" s="47" t="str">
        <x:v>Notion-style task database: điền các ô nền trắng, chọn property bằng dropdown; cột nền xám là công thức tự đồng bộ. Thay hoặc xóa các dòng DEMO trước khi dùng thật.</x:v>
      </x:c>
      <x:c r="V2" s="47" t="str">
        <x:v>Notion-style task database: điền các ô nền trắng, chọn property bằng dropdown; cột nền xám là công thức tự đồng bộ. Thay hoặc xóa các dòng DEMO trước khi dùng thật.</x:v>
      </x:c>
      <x:c r="W2" s="47" t="str">
        <x:v>Notion-style task database: điền các ô nền trắng, chọn property bằng dropdown; cột nền xám là công thức tự đồng bộ. Thay hoặc xóa các dòng DEMO trước khi dùng thật.</x:v>
      </x:c>
      <x:c r="X2" s="47" t="str">
        <x:v>Notion-style task database: điền các ô nền trắng, chọn property bằng dropdown; cột nền xám là công thức tự đồng bộ. Thay hoặc xóa các dòng DEMO trước khi dùng thật.</x:v>
      </x:c>
      <x:c r="Y2" s="47" t="str">
        <x:v>Notion-style task database: điền các ô nền trắng, chọn property bằng dropdown; cột nền xám là công thức tự đồng bộ. Thay hoặc xóa các dòng DEMO trước khi dùng thật.</x:v>
      </x:c>
      <x:c r="Z2" s="47" t="str">
        <x:v>Notion-style task database: điền các ô nền trắng, chọn property bằng dropdown; cột nền xám là công thức tự đồng bộ. Thay hoặc xóa các dòng DEMO trước khi dùng thật.</x:v>
      </x:c>
      <x:c r="AA2" s="47" t="str">
        <x:v>Notion-style task database: điền các ô nền trắng, chọn property bằng dropdown; cột nền xám là công thức tự đồng bộ. Thay hoặc xóa các dòng DEMO trước khi dùng thật.</x:v>
      </x:c>
      <x:c r="AB2" s="47" t="str">
        <x:v>Notion-style task database: điền các ô nền trắng, chọn property bằng dropdown; cột nền xám là công thức tự đồng bộ. Thay hoặc xóa các dòng DEMO trước khi dùng thật.</x:v>
      </x:c>
      <x:c r="AC2" s="47" t="str">
        <x:v>Notion-style task database: điền các ô nền trắng, chọn property bằng dropdown; cột nền xám là công thức tự đồng bộ. Thay hoặc xóa các dòng DEMO trước khi dùng thật.</x:v>
      </x:c>
    </x:row>
    <x:row r="3" ht="28" customHeight="1">
      <x:c r="A3" s="50" t="str">
        <x:v>Quy tắc tối thiểu: 1 task = 1 kết quả kiểm chứng được • Luôn có Owner, Priority, Sprint, Estimate và Hạn cam kết • Blocked phải ghi rõ nguyên nhân và người cần hỗ trợ.</x:v>
      </x:c>
      <x:c r="B3" s="50" t="str">
        <x:v>Quy tắc tối thiểu: 1 task = 1 kết quả kiểm chứng được • Luôn có Owner, Priority, Sprint, Estimate và Hạn cam kết • Blocked phải ghi rõ nguyên nhân và người cần hỗ trợ.</x:v>
      </x:c>
      <x:c r="C3" s="50" t="str">
        <x:v>Quy tắc tối thiểu: 1 task = 1 kết quả kiểm chứng được • Luôn có Owner, Priority, Sprint, Estimate và Hạn cam kết • Blocked phải ghi rõ nguyên nhân và người cần hỗ trợ.</x:v>
      </x:c>
      <x:c r="D3" s="50" t="str">
        <x:v>Quy tắc tối thiểu: 1 task = 1 kết quả kiểm chứng được • Luôn có Owner, Priority, Sprint, Estimate và Hạn cam kết • Blocked phải ghi rõ nguyên nhân và người cần hỗ trợ.</x:v>
      </x:c>
      <x:c r="E3" s="50" t="str">
        <x:v>Quy tắc tối thiểu: 1 task = 1 kết quả kiểm chứng được • Luôn có Owner, Priority, Sprint, Estimate và Hạn cam kết • Blocked phải ghi rõ nguyên nhân và người cần hỗ trợ.</x:v>
      </x:c>
      <x:c r="F3" s="50" t="str">
        <x:v>Quy tắc tối thiểu: 1 task = 1 kết quả kiểm chứng được • Luôn có Owner, Priority, Sprint, Estimate và Hạn cam kết • Blocked phải ghi rõ nguyên nhân và người cần hỗ trợ.</x:v>
      </x:c>
      <x:c r="G3" s="50" t="str">
        <x:v>Quy tắc tối thiểu: 1 task = 1 kết quả kiểm chứng được • Luôn có Owner, Priority, Sprint, Estimate và Hạn cam kết • Blocked phải ghi rõ nguyên nhân và người cần hỗ trợ.</x:v>
      </x:c>
      <x:c r="H3" s="50" t="str">
        <x:v>Quy tắc tối thiểu: 1 task = 1 kết quả kiểm chứng được • Luôn có Owner, Priority, Sprint, Estimate và Hạn cam kết • Blocked phải ghi rõ nguyên nhân và người cần hỗ trợ.</x:v>
      </x:c>
      <x:c r="I3" s="50" t="str">
        <x:v>Quy tắc tối thiểu: 1 task = 1 kết quả kiểm chứng được • Luôn có Owner, Priority, Sprint, Estimate và Hạn cam kết • Blocked phải ghi rõ nguyên nhân và người cần hỗ trợ.</x:v>
      </x:c>
      <x:c r="J3" s="50" t="str">
        <x:v>Quy tắc tối thiểu: 1 task = 1 kết quả kiểm chứng được • Luôn có Owner, Priority, Sprint, Estimate và Hạn cam kết • Blocked phải ghi rõ nguyên nhân và người cần hỗ trợ.</x:v>
      </x:c>
      <x:c r="K3" s="50" t="str">
        <x:v>Quy tắc tối thiểu: 1 task = 1 kết quả kiểm chứng được • Luôn có Owner, Priority, Sprint, Estimate và Hạn cam kết • Blocked phải ghi rõ nguyên nhân và người cần hỗ trợ.</x:v>
      </x:c>
      <x:c r="L3" s="50" t="str">
        <x:v>Quy tắc tối thiểu: 1 task = 1 kết quả kiểm chứng được • Luôn có Owner, Priority, Sprint, Estimate và Hạn cam kết • Blocked phải ghi rõ nguyên nhân và người cần hỗ trợ.</x:v>
      </x:c>
      <x:c r="M3" s="50" t="str">
        <x:v>Quy tắc tối thiểu: 1 task = 1 kết quả kiểm chứng được • Luôn có Owner, Priority, Sprint, Estimate và Hạn cam kết • Blocked phải ghi rõ nguyên nhân và người cần hỗ trợ.</x:v>
      </x:c>
      <x:c r="N3" s="50" t="str">
        <x:v>Quy tắc tối thiểu: 1 task = 1 kết quả kiểm chứng được • Luôn có Owner, Priority, Sprint, Estimate và Hạn cam kết • Blocked phải ghi rõ nguyên nhân và người cần hỗ trợ.</x:v>
      </x:c>
      <x:c r="O3" s="50" t="str">
        <x:v>Quy tắc tối thiểu: 1 task = 1 kết quả kiểm chứng được • Luôn có Owner, Priority, Sprint, Estimate và Hạn cam kết • Blocked phải ghi rõ nguyên nhân và người cần hỗ trợ.</x:v>
      </x:c>
      <x:c r="P3" s="50" t="str">
        <x:v>Quy tắc tối thiểu: 1 task = 1 kết quả kiểm chứng được • Luôn có Owner, Priority, Sprint, Estimate và Hạn cam kết • Blocked phải ghi rõ nguyên nhân và người cần hỗ trợ.</x:v>
      </x:c>
      <x:c r="Q3" s="50" t="str">
        <x:v>Quy tắc tối thiểu: 1 task = 1 kết quả kiểm chứng được • Luôn có Owner, Priority, Sprint, Estimate và Hạn cam kết • Blocked phải ghi rõ nguyên nhân và người cần hỗ trợ.</x:v>
      </x:c>
      <x:c r="R3" s="50" t="str">
        <x:v>Quy tắc tối thiểu: 1 task = 1 kết quả kiểm chứng được • Luôn có Owner, Priority, Sprint, Estimate và Hạn cam kết • Blocked phải ghi rõ nguyên nhân và người cần hỗ trợ.</x:v>
      </x:c>
      <x:c r="S3" s="50" t="str">
        <x:v>Quy tắc tối thiểu: 1 task = 1 kết quả kiểm chứng được • Luôn có Owner, Priority, Sprint, Estimate và Hạn cam kết • Blocked phải ghi rõ nguyên nhân và người cần hỗ trợ.</x:v>
      </x:c>
      <x:c r="T3" s="50" t="str">
        <x:v>Quy tắc tối thiểu: 1 task = 1 kết quả kiểm chứng được • Luôn có Owner, Priority, Sprint, Estimate và Hạn cam kết • Blocked phải ghi rõ nguyên nhân và người cần hỗ trợ.</x:v>
      </x:c>
      <x:c r="U3" s="50" t="str">
        <x:v>Quy tắc tối thiểu: 1 task = 1 kết quả kiểm chứng được • Luôn có Owner, Priority, Sprint, Estimate và Hạn cam kết • Blocked phải ghi rõ nguyên nhân và người cần hỗ trợ.</x:v>
      </x:c>
      <x:c r="V3" s="50" t="str">
        <x:v>Quy tắc tối thiểu: 1 task = 1 kết quả kiểm chứng được • Luôn có Owner, Priority, Sprint, Estimate và Hạn cam kết • Blocked phải ghi rõ nguyên nhân và người cần hỗ trợ.</x:v>
      </x:c>
      <x:c r="W3" s="50" t="str">
        <x:v>Quy tắc tối thiểu: 1 task = 1 kết quả kiểm chứng được • Luôn có Owner, Priority, Sprint, Estimate và Hạn cam kết • Blocked phải ghi rõ nguyên nhân và người cần hỗ trợ.</x:v>
      </x:c>
      <x:c r="X3" s="50" t="str">
        <x:v>Quy tắc tối thiểu: 1 task = 1 kết quả kiểm chứng được • Luôn có Owner, Priority, Sprint, Estimate và Hạn cam kết • Blocked phải ghi rõ nguyên nhân và người cần hỗ trợ.</x:v>
      </x:c>
      <x:c r="Y3" s="50" t="str">
        <x:v>Quy tắc tối thiểu: 1 task = 1 kết quả kiểm chứng được • Luôn có Owner, Priority, Sprint, Estimate và Hạn cam kết • Blocked phải ghi rõ nguyên nhân và người cần hỗ trợ.</x:v>
      </x:c>
      <x:c r="Z3" s="50" t="str">
        <x:v>Quy tắc tối thiểu: 1 task = 1 kết quả kiểm chứng được • Luôn có Owner, Priority, Sprint, Estimate và Hạn cam kết • Blocked phải ghi rõ nguyên nhân và người cần hỗ trợ.</x:v>
      </x:c>
      <x:c r="AA3" s="50" t="str">
        <x:v>Quy tắc tối thiểu: 1 task = 1 kết quả kiểm chứng được • Luôn có Owner, Priority, Sprint, Estimate và Hạn cam kết • Blocked phải ghi rõ nguyên nhân và người cần hỗ trợ.</x:v>
      </x:c>
      <x:c r="AB3" s="50" t="str">
        <x:v>Quy tắc tối thiểu: 1 task = 1 kết quả kiểm chứng được • Luôn có Owner, Priority, Sprint, Estimate và Hạn cam kết • Blocked phải ghi rõ nguyên nhân và người cần hỗ trợ.</x:v>
      </x:c>
      <x:c r="AC3" s="50" t="str">
        <x:v>Quy tắc tối thiểu: 1 task = 1 kết quả kiểm chứng được • Luôn có Owner, Priority, Sprint, Estimate và Hạn cam kết • Blocked phải ghi rõ nguyên nhân và người cần hỗ trợ.</x:v>
      </x:c>
    </x:row>
    <x:row r="4" ht="24" customHeight="1">
      <x:c r="A4" s="56" t="str">
        <x:v>TASKS</x:v>
      </x:c>
      <x:c r="B4" s="59" t="n">
        <x:f>COUNTIF($A$6:$A$205,"&lt;&gt;")</x:f>
        <x:v>6</x:v>
      </x:c>
      <x:c r="D4" s="56" t="str">
        <x:v>DONE</x:v>
      </x:c>
      <x:c r="E4" s="62" t="n">
        <x:f>COUNTIF($C$6:$C$205,"Done")</x:f>
        <x:v>1</x:v>
      </x:c>
      <x:c r="G4" s="56" t="str">
        <x:v>BLOCKED</x:v>
      </x:c>
      <x:c r="H4" s="65" t="n">
        <x:f>COUNTIF($L$6:$L$205,"Có")</x:f>
        <x:v>1</x:v>
      </x:c>
      <x:c r="J4" s="56" t="str">
        <x:v>OVERDUE</x:v>
      </x:c>
      <x:c r="K4" s="68" t="n">
        <x:f>COUNTIF($V$6:$V$205,"&gt;0")</x:f>
        <x:v>0</x:v>
      </x:c>
      <x:c r="M4" s="56" t="str">
        <x:v>SCOPE SP</x:v>
      </x:c>
      <x:c r="N4" s="71" t="n">
        <x:f>SUM($J$6:$J$205)</x:f>
        <x:v>27</x:v>
      </x:c>
      <x:c r="P4" s="79" t="str">
        <x:v>▦  DATABASE VIEW   •   dùng ▼ để filter/sort   •   nhập task ở dòng trống đầu tiên</x:v>
      </x:c>
      <x:c r="Q4" s="80" t="str">
        <x:v>▦  DATABASE VIEW   •   dùng ▼ để filter/sort   •   nhập task ở dòng trống đầu tiên</x:v>
      </x:c>
      <x:c r="R4" s="80" t="str">
        <x:v>▦  DATABASE VIEW   •   dùng ▼ để filter/sort   •   nhập task ở dòng trống đầu tiên</x:v>
      </x:c>
      <x:c r="S4" s="80" t="str">
        <x:v>▦  DATABASE VIEW   •   dùng ▼ để filter/sort   •   nhập task ở dòng trống đầu tiên</x:v>
      </x:c>
      <x:c r="T4" s="80" t="str">
        <x:v>▦  DATABASE VIEW   •   dùng ▼ để filter/sort   •   nhập task ở dòng trống đầu tiên</x:v>
      </x:c>
      <x:c r="U4" s="80" t="str">
        <x:v>▦  DATABASE VIEW   •   dùng ▼ để filter/sort   •   nhập task ở dòng trống đầu tiên</x:v>
      </x:c>
      <x:c r="V4" s="80" t="str">
        <x:v>▦  DATABASE VIEW   •   dùng ▼ để filter/sort   •   nhập task ở dòng trống đầu tiên</x:v>
      </x:c>
      <x:c r="W4" s="80" t="str">
        <x:v>▦  DATABASE VIEW   •   dùng ▼ để filter/sort   •   nhập task ở dòng trống đầu tiên</x:v>
      </x:c>
      <x:c r="X4" s="80" t="str">
        <x:v>▦  DATABASE VIEW   •   dùng ▼ để filter/sort   •   nhập task ở dòng trống đầu tiên</x:v>
      </x:c>
      <x:c r="Y4" s="80" t="str">
        <x:v>▦  DATABASE VIEW   •   dùng ▼ để filter/sort   •   nhập task ở dòng trống đầu tiên</x:v>
      </x:c>
      <x:c r="Z4" s="80" t="str">
        <x:v>▦  DATABASE VIEW   •   dùng ▼ để filter/sort   •   nhập task ở dòng trống đầu tiên</x:v>
      </x:c>
      <x:c r="AA4" s="80" t="str">
        <x:v>▦  DATABASE VIEW   •   dùng ▼ để filter/sort   •   nhập task ở dòng trống đầu tiên</x:v>
      </x:c>
      <x:c r="AB4" s="80" t="str">
        <x:v>▦  DATABASE VIEW   •   dùng ▼ để filter/sort   •   nhập task ở dòng trống đầu tiên</x:v>
      </x:c>
      <x:c r="AC4" s="81" t="str">
        <x:v>▦  DATABASE VIEW   •   dùng ▼ để filter/sort   •   nhập task ở dòng trống đầu tiên</x:v>
      </x:c>
    </x:row>
    <x:row r="5" ht="34" customHeight="1">
      <x:c r="A5" s="88" t="str">
        <x:v>Task ID</x:v>
      </x:c>
      <x:c r="B5" s="89" t="str">
        <x:v>Tiêu đề</x:v>
      </x:c>
      <x:c r="C5" s="89" t="str">
        <x:v>Trạng thái</x:v>
      </x:c>
      <x:c r="D5" s="89" t="str">
        <x:v>Ưu tiên</x:v>
      </x:c>
      <x:c r="E5" s="89" t="str">
        <x:v>Owner</x:v>
      </x:c>
      <x:c r="F5" s="89" t="str">
        <x:v>Sprint</x:v>
      </x:c>
      <x:c r="G5" s="89" t="str">
        <x:v>Loại</x:v>
      </x:c>
      <x:c r="H5" s="89" t="str">
        <x:v>Epic</x:v>
      </x:c>
      <x:c r="I5" s="89" t="str">
        <x:v>Hạn cam kết</x:v>
      </x:c>
      <x:c r="J5" s="89" t="str">
        <x:v>Estimate (SP)</x:v>
      </x:c>
      <x:c r="K5" s="89" t="str">
        <x:v>Tiến độ %</x:v>
      </x:c>
      <x:c r="L5" s="89" t="str">
        <x:v>Blocked?</x:v>
      </x:c>
      <x:c r="M5" s="89" t="str">
        <x:v>Nhãn</x:v>
      </x:c>
      <x:c r="N5" s="89" t="str">
        <x:v>Mô tả / Acceptance Criteria</x:v>
      </x:c>
      <x:c r="O5" s="89" t="str">
        <x:v>Cập nhật cuối</x:v>
      </x:c>
      <x:c r="P5" s="89" t="str">
        <x:v>Ngày tạo</x:v>
      </x:c>
      <x:c r="Q5" s="89" t="str">
        <x:v>Bắt đầu</x:v>
      </x:c>
      <x:c r="R5" s="89" t="str">
        <x:v>Hạn SLA</x:v>
      </x:c>
      <x:c r="S5" s="89" t="str">
        <x:v>Hoàn thành</x:v>
      </x:c>
      <x:c r="T5" s="89" t="str">
        <x:v>Actual (giờ)</x:v>
      </x:c>
      <x:c r="U5" s="89" t="str">
        <x:v>Còn lại (ngày)</x:v>
      </x:c>
      <x:c r="V5" s="89" t="str">
        <x:v>Quá hạn (ngày)</x:v>
      </x:c>
      <x:c r="W5" s="89" t="str">
        <x:v>Lý do blocker</x:v>
      </x:c>
      <x:c r="X5" s="89" t="str">
        <x:v>Phụ thuộc</x:v>
      </x:c>
      <x:c r="Y5" s="89" t="str">
        <x:v>Release</x:v>
      </x:c>
      <x:c r="Z5" s="89" t="str">
        <x:v>Môi trường</x:v>
      </x:c>
      <x:c r="AA5" s="89" t="str">
        <x:v>Rủi ro</x:v>
      </x:c>
      <x:c r="AB5" s="89" t="str">
        <x:v>Người yêu cầu</x:v>
      </x:c>
      <x:c r="AC5" s="90" t="str">
        <x:v>Tuổi task (ngày)</x:v>
      </x:c>
    </x:row>
    <x:row r="6" ht="28" customHeight="1">
      <x:c r="A6" s="91" t="str">
        <x:v>DEMO-FE-001</x:v>
      </x:c>
      <x:c r="B6" s="94" t="str">
        <x:v>Màn hình đăng nhập và phiên hết hạn</x:v>
      </x:c>
      <x:c r="C6" s="91" t="str">
        <x:v>Code Review</x:v>
      </x:c>
      <x:c r="D6" s="91" t="str">
        <x:v>P0 - Critical</x:v>
      </x:c>
      <x:c r="E6" s="91" t="str">
        <x:v>Hoàng Em</x:v>
      </x:c>
      <x:c r="F6" s="91" t="str">
        <x:v>Sprint 24</x:v>
      </x:c>
      <x:c r="G6" s="91" t="str">
        <x:v>Story</x:v>
      </x:c>
      <x:c r="H6" s="91" t="str">
        <x:v>Authentication</x:v>
      </x:c>
      <x:c r="I6" s="100" t="n">
        <x:v>46224</x:v>
      </x:c>
      <x:c r="J6" s="106" t="n">
        <x:v>5</x:v>
      </x:c>
      <x:c r="K6" s="109" t="n">
        <x:f>IF(A6="","",IFERROR(VLOOKUP(C6,'Cấu hình'!$A$12:$D$19,2,FALSE),0))</x:f>
        <x:v>0.75</x:v>
      </x:c>
      <x:c r="L6" s="91" t="str">
        <x:v>Không</x:v>
      </x:c>
      <x:c r="M6" s="91" t="str">
        <x:v>auth,a11y</x:v>
      </x:c>
      <x:c r="N6" s="94" t="str">
        <x:v>Có lỗi inline; focus hợp lý; tự chuyển về login khi session hết hạn.</x:v>
      </x:c>
      <x:c r="O6" s="100" t="n">
        <x:v>46223</x:v>
      </x:c>
      <x:c r="P6" s="100" t="n">
        <x:v>46215</x:v>
      </x:c>
      <x:c r="Q6" s="100" t="n">
        <x:v>46217</x:v>
      </x:c>
      <x:c r="R6" s="103" t="n">
        <x:f>IF(OR(P6="",D6=""),"",P6+IFERROR(VLOOKUP(D6,'Cấu hình'!$E$12:$G$15,3,FALSE),0))</x:f>
        <x:v>46216</x:v>
      </x:c>
      <x:c r="S6" s="100"/>
      <x:c r="T6" s="106" t="n">
        <x:v>8</x:v>
      </x:c>
      <x:c r="U6" s="112" t="n">
        <x:f>IF(A6="","",IF(S6&lt;&gt;"",0,IF(I6&lt;&gt;"",I6-TODAY(),IF(R6&lt;&gt;"",R6-TODAY(),""))))</x:f>
        <x:v>1</x:v>
      </x:c>
      <x:c r="V6" s="112" t="n">
        <x:f>IF(A6="","",IF(S6&lt;&gt;"",MAX(0,S6-IF(I6&lt;&gt;"",I6,R6)),IF(OR(I6&lt;&gt;"",R6&lt;&gt;""),MAX(0,TODAY()-IF(I6&lt;&gt;"",I6,R6)),0)))</x:f>
        <x:v>0</x:v>
      </x:c>
      <x:c r="W6" s="94"/>
      <x:c r="X6" s="94" t="str">
        <x:v>DEMO-BE-001</x:v>
      </x:c>
      <x:c r="Y6" s="91" t="str">
        <x:v>R2026.07</x:v>
      </x:c>
      <x:c r="Z6" s="91" t="str">
        <x:v>Staging</x:v>
      </x:c>
      <x:c r="AA6" s="91" t="str">
        <x:v>Cao</x:v>
      </x:c>
      <x:c r="AB6" s="91" t="str">
        <x:v>PO</x:v>
      </x:c>
      <x:c r="AC6" s="112" t="n">
        <x:f>IF(A6="","",IF(P6="","",IF(S6&lt;&gt;"",S6-P6,TODAY()-P6)))</x:f>
        <x:v>8</x:v>
      </x:c>
    </x:row>
    <x:row r="7" ht="28" customHeight="1">
      <x:c r="A7" s="92" t="str">
        <x:v>DEMO-FE-002</x:v>
      </x:c>
      <x:c r="B7" s="95" t="str">
        <x:v>Dashboard tiến độ học viên</x:v>
      </x:c>
      <x:c r="C7" s="92" t="str">
        <x:v>In Progress</x:v>
      </x:c>
      <x:c r="D7" s="92" t="str">
        <x:v>P1 - High</x:v>
      </x:c>
      <x:c r="E7" s="92" t="str">
        <x:v>Võ Giang</x:v>
      </x:c>
      <x:c r="F7" s="92" t="str">
        <x:v>Sprint 24</x:v>
      </x:c>
      <x:c r="G7" s="92" t="str">
        <x:v>Story</x:v>
      </x:c>
      <x:c r="H7" s="92" t="str">
        <x:v>Dashboard</x:v>
      </x:c>
      <x:c r="I7" s="101" t="n">
        <x:v>46226</x:v>
      </x:c>
      <x:c r="J7" s="107" t="n">
        <x:v>8</x:v>
      </x:c>
      <x:c r="K7" s="110" t="n">
        <x:f>IF(A7="","",IFERROR(VLOOKUP(C7,'Cấu hình'!$A$12:$D$19,2,FALSE),0))</x:f>
        <x:v>0.5</x:v>
      </x:c>
      <x:c r="L7" s="92" t="str">
        <x:v>Không</x:v>
      </x:c>
      <x:c r="M7" s="92" t="str">
        <x:v>dashboard</x:v>
      </x:c>
      <x:c r="N7" s="95" t="str">
        <x:v>Skeleton loading; responsive; số liệu khớp API; empty state rõ ràng.</x:v>
      </x:c>
      <x:c r="O7" s="101" t="n">
        <x:v>46222</x:v>
      </x:c>
      <x:c r="P7" s="101" t="n">
        <x:v>46216</x:v>
      </x:c>
      <x:c r="Q7" s="101" t="n">
        <x:v>46218</x:v>
      </x:c>
      <x:c r="R7" s="104" t="n">
        <x:f>IF(OR(P7="",D7=""),"",P7+IFERROR(VLOOKUP(D7,'Cấu hình'!$E$12:$G$15,3,FALSE),0))</x:f>
        <x:v>46219</x:v>
      </x:c>
      <x:c r="S7" s="101"/>
      <x:c r="T7" s="107" t="n">
        <x:v>12</x:v>
      </x:c>
      <x:c r="U7" s="113" t="n">
        <x:f>IF(A7="","",IF(S7&lt;&gt;"",0,IF(I7&lt;&gt;"",I7-TODAY(),IF(R7&lt;&gt;"",R7-TODAY(),""))))</x:f>
        <x:v>3</x:v>
      </x:c>
      <x:c r="V7" s="113" t="n">
        <x:f>IF(A7="","",IF(S7&lt;&gt;"",MAX(0,S7-IF(I7&lt;&gt;"",I7,R7)),IF(OR(I7&lt;&gt;"",R7&lt;&gt;""),MAX(0,TODAY()-IF(I7&lt;&gt;"",I7,R7)),0)))</x:f>
        <x:v>0</x:v>
      </x:c>
      <x:c r="W7" s="95"/>
      <x:c r="X7" s="95" t="str">
        <x:v>DEMO-BE-003</x:v>
      </x:c>
      <x:c r="Y7" s="92" t="str">
        <x:v>R2026.08</x:v>
      </x:c>
      <x:c r="Z7" s="92" t="str">
        <x:v>Dev</x:v>
      </x:c>
      <x:c r="AA7" s="92" t="str">
        <x:v>Trung bình</x:v>
      </x:c>
      <x:c r="AB7" s="92" t="str">
        <x:v>PO</x:v>
      </x:c>
      <x:c r="AC7" s="113" t="n">
        <x:f>IF(A7="","",IF(P7="","",IF(S7&lt;&gt;"",S7-P7,TODAY()-P7)))</x:f>
        <x:v>7</x:v>
      </x:c>
    </x:row>
    <x:row r="8" ht="28" customHeight="1">
      <x:c r="A8" s="92" t="str">
        <x:v>DEMO-FE-003</x:v>
      </x:c>
      <x:c r="B8" s="95" t="str">
        <x:v>Bộ lọc ghi danh mất trạng thái</x:v>
      </x:c>
      <x:c r="C8" s="92" t="str">
        <x:v>QA</x:v>
      </x:c>
      <x:c r="D8" s="92" t="str">
        <x:v>P1 - High</x:v>
      </x:c>
      <x:c r="E8" s="92" t="str">
        <x:v>Đặng Hà</x:v>
      </x:c>
      <x:c r="F8" s="92" t="str">
        <x:v>Sprint 24</x:v>
      </x:c>
      <x:c r="G8" s="92" t="str">
        <x:v>Bug</x:v>
      </x:c>
      <x:c r="H8" s="92" t="str">
        <x:v>Enrollment</x:v>
      </x:c>
      <x:c r="I8" s="101" t="n">
        <x:v>46223</x:v>
      </x:c>
      <x:c r="J8" s="107" t="n">
        <x:v>3</x:v>
      </x:c>
      <x:c r="K8" s="110" t="n">
        <x:f>IF(A8="","",IFERROR(VLOOKUP(C8,'Cấu hình'!$A$12:$D$19,2,FALSE),0))</x:f>
        <x:v>0.85</x:v>
      </x:c>
      <x:c r="L8" s="92" t="str">
        <x:v>Không</x:v>
      </x:c>
      <x:c r="M8" s="92" t="str">
        <x:v>router</x:v>
      </x:c>
      <x:c r="N8" s="95" t="str">
        <x:v>Reload vẫn giữ filter; URL search params được đồng bộ.</x:v>
      </x:c>
      <x:c r="O8" s="101" t="n">
        <x:v>46223</x:v>
      </x:c>
      <x:c r="P8" s="101" t="n">
        <x:v>46217</x:v>
      </x:c>
      <x:c r="Q8" s="101" t="n">
        <x:v>46219</x:v>
      </x:c>
      <x:c r="R8" s="104" t="n">
        <x:f>IF(OR(P8="",D8=""),"",P8+IFERROR(VLOOKUP(D8,'Cấu hình'!$E$12:$G$15,3,FALSE),0))</x:f>
        <x:v>46220</x:v>
      </x:c>
      <x:c r="S8" s="101"/>
      <x:c r="T8" s="107" t="n">
        <x:v>5</x:v>
      </x:c>
      <x:c r="U8" s="113" t="n">
        <x:f>IF(A8="","",IF(S8&lt;&gt;"",0,IF(I8&lt;&gt;"",I8-TODAY(),IF(R8&lt;&gt;"",R8-TODAY(),""))))</x:f>
        <x:v>0</x:v>
      </x:c>
      <x:c r="V8" s="113" t="n">
        <x:f>IF(A8="","",IF(S8&lt;&gt;"",MAX(0,S8-IF(I8&lt;&gt;"",I8,R8)),IF(OR(I8&lt;&gt;"",R8&lt;&gt;""),MAX(0,TODAY()-IF(I8&lt;&gt;"",I8,R8)),0)))</x:f>
        <x:v>0</x:v>
      </x:c>
      <x:c r="W8" s="95"/>
      <x:c r="X8" s="95"/>
      <x:c r="Y8" s="92" t="str">
        <x:v>R2026.07</x:v>
      </x:c>
      <x:c r="Z8" s="92" t="str">
        <x:v>Staging</x:v>
      </x:c>
      <x:c r="AA8" s="92" t="str">
        <x:v>Trung bình</x:v>
      </x:c>
      <x:c r="AB8" s="92" t="str">
        <x:v>QA</x:v>
      </x:c>
      <x:c r="AC8" s="113" t="n">
        <x:f>IF(A8="","",IF(P8="","",IF(S8&lt;&gt;"",S8-P8,TODAY()-P8)))</x:f>
        <x:v>6</x:v>
      </x:c>
    </x:row>
    <x:row r="9" ht="28" customHeight="1">
      <x:c r="A9" s="92" t="str">
        <x:v>DEMO-FE-004</x:v>
      </x:c>
      <x:c r="B9" s="95" t="str">
        <x:v>Chuẩn hóa status badge</x:v>
      </x:c>
      <x:c r="C9" s="92" t="str">
        <x:v>Blocked</x:v>
      </x:c>
      <x:c r="D9" s="92" t="str">
        <x:v>P2 - Medium</x:v>
      </x:c>
      <x:c r="E9" s="92" t="str">
        <x:v>Bùi Khang</x:v>
      </x:c>
      <x:c r="F9" s="92" t="str">
        <x:v>Sprint 24</x:v>
      </x:c>
      <x:c r="G9" s="92" t="str">
        <x:v>Improvement</x:v>
      </x:c>
      <x:c r="H9" s="92" t="str">
        <x:v>Design system</x:v>
      </x:c>
      <x:c r="I9" s="101" t="n">
        <x:v>46228</x:v>
      </x:c>
      <x:c r="J9" s="107" t="n">
        <x:v>5</x:v>
      </x:c>
      <x:c r="K9" s="110" t="n">
        <x:f>IF(A9="","",IFERROR(VLOOKUP(C9,'Cấu hình'!$A$12:$D$19,2,FALSE),0))</x:f>
        <x:v>0.5</x:v>
      </x:c>
      <x:c r="L9" s="92" t="str">
        <x:v>Có</x:v>
      </x:c>
      <x:c r="M9" s="92" t="str">
        <x:v>mui</x:v>
      </x:c>
      <x:c r="N9" s="95" t="str">
        <x:v>Chỉ dùng ERG MUI token; đủ trạng thái success/warning/error/info.</x:v>
      </x:c>
      <x:c r="O9" s="101" t="n">
        <x:v>46221</x:v>
      </x:c>
      <x:c r="P9" s="101" t="n">
        <x:v>46218</x:v>
      </x:c>
      <x:c r="Q9" s="101" t="n">
        <x:v>46220</x:v>
      </x:c>
      <x:c r="R9" s="104" t="n">
        <x:f>IF(OR(P9="",D9=""),"",P9+IFERROR(VLOOKUP(D9,'Cấu hình'!$E$12:$G$15,3,FALSE),0))</x:f>
        <x:v>46223</x:v>
      </x:c>
      <x:c r="S9" s="101"/>
      <x:c r="T9" s="107" t="n">
        <x:v>2</x:v>
      </x:c>
      <x:c r="U9" s="113" t="n">
        <x:f>IF(A9="","",IF(S9&lt;&gt;"",0,IF(I9&lt;&gt;"",I9-TODAY(),IF(R9&lt;&gt;"",R9-TODAY(),""))))</x:f>
        <x:v>5</x:v>
      </x:c>
      <x:c r="V9" s="113" t="n">
        <x:f>IF(A9="","",IF(S9&lt;&gt;"",MAX(0,S9-IF(I9&lt;&gt;"",I9,R9)),IF(OR(I9&lt;&gt;"",R9&lt;&gt;""),MAX(0,TODAY()-IF(I9&lt;&gt;"",I9,R9)),0)))</x:f>
        <x:v>0</x:v>
      </x:c>
      <x:c r="W9" s="95" t="str">
        <x:v>Chờ xác nhận mapping trạng thái</x:v>
      </x:c>
      <x:c r="X9" s="95" t="str">
        <x:v>PO-DEC-002</x:v>
      </x:c>
      <x:c r="Y9" s="92" t="str">
        <x:v>R2026.08</x:v>
      </x:c>
      <x:c r="Z9" s="92" t="str">
        <x:v>Dev</x:v>
      </x:c>
      <x:c r="AA9" s="92" t="str">
        <x:v>Trung bình</x:v>
      </x:c>
      <x:c r="AB9" s="92" t="str">
        <x:v>PO</x:v>
      </x:c>
      <x:c r="AC9" s="113" t="n">
        <x:f>IF(A9="","",IF(P9="","",IF(S9&lt;&gt;"",S9-P9,TODAY()-P9)))</x:f>
        <x:v>5</x:v>
      </x:c>
    </x:row>
    <x:row r="10" ht="28" customHeight="1">
      <x:c r="A10" s="92" t="str">
        <x:v>DEMO-FE-005</x:v>
      </x:c>
      <x:c r="B10" s="95" t="str">
        <x:v>Form cập nhật hồ sơ</x:v>
      </x:c>
      <x:c r="C10" s="92" t="str">
        <x:v>Ready</x:v>
      </x:c>
      <x:c r="D10" s="92" t="str">
        <x:v>P3 - Low</x:v>
      </x:c>
      <x:c r="E10" s="92" t="str">
        <x:v>Hoàng Em</x:v>
      </x:c>
      <x:c r="F10" s="92" t="str">
        <x:v>Sprint 24</x:v>
      </x:c>
      <x:c r="G10" s="92" t="str">
        <x:v>Task</x:v>
      </x:c>
      <x:c r="H10" s="92" t="str">
        <x:v>Profile</x:v>
      </x:c>
      <x:c r="I10" s="101" t="n">
        <x:v>46229</x:v>
      </x:c>
      <x:c r="J10" s="107" t="n">
        <x:v>3</x:v>
      </x:c>
      <x:c r="K10" s="110" t="n">
        <x:f>IF(A10="","",IFERROR(VLOOKUP(C10,'Cấu hình'!$A$12:$D$19,2,FALSE),0))</x:f>
        <x:v>0.1</x:v>
      </x:c>
      <x:c r="L10" s="92" t="str">
        <x:v>Không</x:v>
      </x:c>
      <x:c r="M10" s="92" t="str">
        <x:v>form</x:v>
      </x:c>
      <x:c r="N10" s="95" t="str">
        <x:v>Validation client/server; hiển thị lỗi field; keyboard accessible.</x:v>
      </x:c>
      <x:c r="O10" s="101" t="n">
        <x:v>46220</x:v>
      </x:c>
      <x:c r="P10" s="101" t="n">
        <x:v>46219</x:v>
      </x:c>
      <x:c r="Q10" s="101"/>
      <x:c r="R10" s="104" t="n">
        <x:f>IF(OR(P10="",D10=""),"",P10+IFERROR(VLOOKUP(D10,'Cấu hình'!$E$12:$G$15,3,FALSE),0))</x:f>
        <x:v>46229</x:v>
      </x:c>
      <x:c r="S10" s="101"/>
      <x:c r="T10" s="107"/>
      <x:c r="U10" s="113" t="n">
        <x:f>IF(A10="","",IF(S10&lt;&gt;"",0,IF(I10&lt;&gt;"",I10-TODAY(),IF(R10&lt;&gt;"",R10-TODAY(),""))))</x:f>
        <x:v>6</x:v>
      </x:c>
      <x:c r="V10" s="113" t="n">
        <x:f>IF(A10="","",IF(S10&lt;&gt;"",MAX(0,S10-IF(I10&lt;&gt;"",I10,R10)),IF(OR(I10&lt;&gt;"",R10&lt;&gt;""),MAX(0,TODAY()-IF(I10&lt;&gt;"",I10,R10)),0)))</x:f>
        <x:v>0</x:v>
      </x:c>
      <x:c r="W10" s="95"/>
      <x:c r="X10" s="95" t="str">
        <x:v>DEMO-BE-005</x:v>
      </x:c>
      <x:c r="Y10" s="92" t="str">
        <x:v>R2026.08</x:v>
      </x:c>
      <x:c r="Z10" s="92" t="str">
        <x:v>Dev</x:v>
      </x:c>
      <x:c r="AA10" s="92" t="str">
        <x:v>Thấp</x:v>
      </x:c>
      <x:c r="AB10" s="92" t="str">
        <x:v>PO</x:v>
      </x:c>
      <x:c r="AC10" s="113" t="n">
        <x:f>IF(A10="","",IF(P10="","",IF(S10&lt;&gt;"",S10-P10,TODAY()-P10)))</x:f>
        <x:v>4</x:v>
      </x:c>
    </x:row>
    <x:row r="11" ht="28" customHeight="1">
      <x:c r="A11" s="92" t="str">
        <x:v>DEMO-FE-006</x:v>
      </x:c>
      <x:c r="B11" s="95" t="str">
        <x:v>Tách bundle route báo cáo</x:v>
      </x:c>
      <x:c r="C11" s="92" t="str">
        <x:v>Done</x:v>
      </x:c>
      <x:c r="D11" s="92" t="str">
        <x:v>P2 - Medium</x:v>
      </x:c>
      <x:c r="E11" s="92" t="str">
        <x:v>Võ Giang</x:v>
      </x:c>
      <x:c r="F11" s="92" t="str">
        <x:v>Sprint 24</x:v>
      </x:c>
      <x:c r="G11" s="92" t="str">
        <x:v>Tech debt</x:v>
      </x:c>
      <x:c r="H11" s="92" t="str">
        <x:v>Shell</x:v>
      </x:c>
      <x:c r="I11" s="101" t="n">
        <x:v>46220</x:v>
      </x:c>
      <x:c r="J11" s="107" t="n">
        <x:v>3</x:v>
      </x:c>
      <x:c r="K11" s="110" t="n">
        <x:f>IF(A11="","",IFERROR(VLOOKUP(C11,'Cấu hình'!$A$12:$D$19,2,FALSE),0))</x:f>
        <x:v>1</x:v>
      </x:c>
      <x:c r="L11" s="92" t="str">
        <x:v>Không</x:v>
      </x:c>
      <x:c r="M11" s="92" t="str">
        <x:v>performance</x:v>
      </x:c>
      <x:c r="N11" s="95" t="str">
        <x:v>Route được lazy-load; initial bundle không tăng; có skeleton.</x:v>
      </x:c>
      <x:c r="O11" s="101" t="n">
        <x:v>46220</x:v>
      </x:c>
      <x:c r="P11" s="101" t="n">
        <x:v>46213</x:v>
      </x:c>
      <x:c r="Q11" s="101" t="n">
        <x:v>46214</x:v>
      </x:c>
      <x:c r="R11" s="104" t="n">
        <x:f>IF(OR(P11="",D11=""),"",P11+IFERROR(VLOOKUP(D11,'Cấu hình'!$E$12:$G$15,3,FALSE),0))</x:f>
        <x:v>46218</x:v>
      </x:c>
      <x:c r="S11" s="101" t="n">
        <x:v>46220</x:v>
      </x:c>
      <x:c r="T11" s="107" t="n">
        <x:v>4</x:v>
      </x:c>
      <x:c r="U11" s="113" t="n">
        <x:f>IF(A11="","",IF(S11&lt;&gt;"",0,IF(I11&lt;&gt;"",I11-TODAY(),IF(R11&lt;&gt;"",R11-TODAY(),""))))</x:f>
        <x:v>0</x:v>
      </x:c>
      <x:c r="V11" s="113" t="n">
        <x:f>IF(A11="","",IF(S11&lt;&gt;"",MAX(0,S11-IF(I11&lt;&gt;"",I11,R11)),IF(OR(I11&lt;&gt;"",R11&lt;&gt;""),MAX(0,TODAY()-IF(I11&lt;&gt;"",I11,R11)),0)))</x:f>
        <x:v>0</x:v>
      </x:c>
      <x:c r="W11" s="95"/>
      <x:c r="X11" s="95"/>
      <x:c r="Y11" s="92" t="str">
        <x:v>R2026.07</x:v>
      </x:c>
      <x:c r="Z11" s="92" t="str">
        <x:v>Production</x:v>
      </x:c>
      <x:c r="AA11" s="92" t="str">
        <x:v>Thấp</x:v>
      </x:c>
      <x:c r="AB11" s="92" t="str">
        <x:v>PO</x:v>
      </x:c>
      <x:c r="AC11" s="113" t="n">
        <x:f>IF(A11="","",IF(P11="","",IF(S11&lt;&gt;"",S11-P11,TODAY()-P11)))</x:f>
        <x:v>7</x:v>
      </x:c>
    </x:row>
    <x:row r="12" ht="28" customHeight="1">
      <x:c r="A12" s="92"/>
      <x:c r="B12" s="95"/>
      <x:c r="C12" s="92"/>
      <x:c r="D12" s="92"/>
      <x:c r="E12" s="92"/>
      <x:c r="F12" s="92"/>
      <x:c r="G12" s="92"/>
      <x:c r="H12" s="92"/>
      <x:c r="I12" s="101"/>
      <x:c r="J12" s="107"/>
      <x:c r="K12" s="110" t="str">
        <x:f>IF(A12="","",IFERROR(VLOOKUP(C12,'Cấu hình'!$A$12:$D$19,2,FALSE),0))</x:f>
      </x:c>
      <x:c r="L12" s="92"/>
      <x:c r="M12" s="92"/>
      <x:c r="N12" s="95"/>
      <x:c r="O12" s="101"/>
      <x:c r="P12" s="101"/>
      <x:c r="Q12" s="101"/>
      <x:c r="R12" s="104" t="str">
        <x:f>IF(OR(P12="",D12=""),"",P12+IFERROR(VLOOKUP(D12,'Cấu hình'!$E$12:$G$15,3,FALSE),0))</x:f>
      </x:c>
      <x:c r="S12" s="101"/>
      <x:c r="T12" s="107"/>
      <x:c r="U12" s="113" t="str">
        <x:f>IF(A12="","",IF(S12&lt;&gt;"",0,IF(I12&lt;&gt;"",I12-TODAY(),IF(R12&lt;&gt;"",R12-TODAY(),""))))</x:f>
      </x:c>
      <x:c r="V12" s="113" t="str">
        <x:f>IF(A12="","",IF(S12&lt;&gt;"",MAX(0,S12-IF(I12&lt;&gt;"",I12,R12)),IF(OR(I12&lt;&gt;"",R12&lt;&gt;""),MAX(0,TODAY()-IF(I12&lt;&gt;"",I12,R12)),0)))</x:f>
      </x:c>
      <x:c r="W12" s="95"/>
      <x:c r="X12" s="95"/>
      <x:c r="Y12" s="92"/>
      <x:c r="Z12" s="92"/>
      <x:c r="AA12" s="92"/>
      <x:c r="AB12" s="92"/>
      <x:c r="AC12" s="113" t="str">
        <x:f>IF(A12="","",IF(P12="","",IF(S12&lt;&gt;"",S12-P12,TODAY()-P12)))</x:f>
      </x:c>
    </x:row>
    <x:row r="13" ht="28" customHeight="1">
      <x:c r="A13" s="92"/>
      <x:c r="B13" s="95"/>
      <x:c r="C13" s="92"/>
      <x:c r="D13" s="92"/>
      <x:c r="E13" s="92"/>
      <x:c r="F13" s="92"/>
      <x:c r="G13" s="92"/>
      <x:c r="H13" s="92"/>
      <x:c r="I13" s="101"/>
      <x:c r="J13" s="107"/>
      <x:c r="K13" s="110" t="str">
        <x:f>IF(A13="","",IFERROR(VLOOKUP(C13,'Cấu hình'!$A$12:$D$19,2,FALSE),0))</x:f>
      </x:c>
      <x:c r="L13" s="92"/>
      <x:c r="M13" s="92"/>
      <x:c r="N13" s="95"/>
      <x:c r="O13" s="101"/>
      <x:c r="P13" s="101"/>
      <x:c r="Q13" s="101"/>
      <x:c r="R13" s="104" t="str">
        <x:f>IF(OR(P13="",D13=""),"",P13+IFERROR(VLOOKUP(D13,'Cấu hình'!$E$12:$G$15,3,FALSE),0))</x:f>
      </x:c>
      <x:c r="S13" s="101"/>
      <x:c r="T13" s="107"/>
      <x:c r="U13" s="113" t="str">
        <x:f>IF(A13="","",IF(S13&lt;&gt;"",0,IF(I13&lt;&gt;"",I13-TODAY(),IF(R13&lt;&gt;"",R13-TODAY(),""))))</x:f>
      </x:c>
      <x:c r="V13" s="113" t="str">
        <x:f>IF(A13="","",IF(S13&lt;&gt;"",MAX(0,S13-IF(I13&lt;&gt;"",I13,R13)),IF(OR(I13&lt;&gt;"",R13&lt;&gt;""),MAX(0,TODAY()-IF(I13&lt;&gt;"",I13,R13)),0)))</x:f>
      </x:c>
      <x:c r="W13" s="95"/>
      <x:c r="X13" s="95"/>
      <x:c r="Y13" s="92"/>
      <x:c r="Z13" s="92"/>
      <x:c r="AA13" s="92"/>
      <x:c r="AB13" s="92"/>
      <x:c r="AC13" s="113" t="str">
        <x:f>IF(A13="","",IF(P13="","",IF(S13&lt;&gt;"",S13-P13,TODAY()-P13)))</x:f>
      </x:c>
    </x:row>
    <x:row r="14" ht="28" customHeight="1">
      <x:c r="A14" s="92"/>
      <x:c r="B14" s="95"/>
      <x:c r="C14" s="92"/>
      <x:c r="D14" s="92"/>
      <x:c r="E14" s="92"/>
      <x:c r="F14" s="92"/>
      <x:c r="G14" s="92"/>
      <x:c r="H14" s="92"/>
      <x:c r="I14" s="101"/>
      <x:c r="J14" s="107"/>
      <x:c r="K14" s="110" t="str">
        <x:f>IF(A14="","",IFERROR(VLOOKUP(C14,'Cấu hình'!$A$12:$D$19,2,FALSE),0))</x:f>
      </x:c>
      <x:c r="L14" s="92"/>
      <x:c r="M14" s="92"/>
      <x:c r="N14" s="95"/>
      <x:c r="O14" s="101"/>
      <x:c r="P14" s="101"/>
      <x:c r="Q14" s="101"/>
      <x:c r="R14" s="104" t="str">
        <x:f>IF(OR(P14="",D14=""),"",P14+IFERROR(VLOOKUP(D14,'Cấu hình'!$E$12:$G$15,3,FALSE),0))</x:f>
      </x:c>
      <x:c r="S14" s="101"/>
      <x:c r="T14" s="107"/>
      <x:c r="U14" s="113" t="str">
        <x:f>IF(A14="","",IF(S14&lt;&gt;"",0,IF(I14&lt;&gt;"",I14-TODAY(),IF(R14&lt;&gt;"",R14-TODAY(),""))))</x:f>
      </x:c>
      <x:c r="V14" s="113" t="str">
        <x:f>IF(A14="","",IF(S14&lt;&gt;"",MAX(0,S14-IF(I14&lt;&gt;"",I14,R14)),IF(OR(I14&lt;&gt;"",R14&lt;&gt;""),MAX(0,TODAY()-IF(I14&lt;&gt;"",I14,R14)),0)))</x:f>
      </x:c>
      <x:c r="W14" s="95"/>
      <x:c r="X14" s="95"/>
      <x:c r="Y14" s="92"/>
      <x:c r="Z14" s="92"/>
      <x:c r="AA14" s="92"/>
      <x:c r="AB14" s="92"/>
      <x:c r="AC14" s="113" t="str">
        <x:f>IF(A14="","",IF(P14="","",IF(S14&lt;&gt;"",S14-P14,TODAY()-P14)))</x:f>
      </x:c>
    </x:row>
    <x:row r="15" ht="28" customHeight="1">
      <x:c r="A15" s="92"/>
      <x:c r="B15" s="95"/>
      <x:c r="C15" s="92"/>
      <x:c r="D15" s="92"/>
      <x:c r="E15" s="92"/>
      <x:c r="F15" s="92"/>
      <x:c r="G15" s="92"/>
      <x:c r="H15" s="92"/>
      <x:c r="I15" s="101"/>
      <x:c r="J15" s="107"/>
      <x:c r="K15" s="110" t="str">
        <x:f>IF(A15="","",IFERROR(VLOOKUP(C15,'Cấu hình'!$A$12:$D$19,2,FALSE),0))</x:f>
      </x:c>
      <x:c r="L15" s="92"/>
      <x:c r="M15" s="92"/>
      <x:c r="N15" s="95"/>
      <x:c r="O15" s="101"/>
      <x:c r="P15" s="101"/>
      <x:c r="Q15" s="101"/>
      <x:c r="R15" s="104" t="str">
        <x:f>IF(OR(P15="",D15=""),"",P15+IFERROR(VLOOKUP(D15,'Cấu hình'!$E$12:$G$15,3,FALSE),0))</x:f>
      </x:c>
      <x:c r="S15" s="101"/>
      <x:c r="T15" s="107"/>
      <x:c r="U15" s="113" t="str">
        <x:f>IF(A15="","",IF(S15&lt;&gt;"",0,IF(I15&lt;&gt;"",I15-TODAY(),IF(R15&lt;&gt;"",R15-TODAY(),""))))</x:f>
      </x:c>
      <x:c r="V15" s="113" t="str">
        <x:f>IF(A15="","",IF(S15&lt;&gt;"",MAX(0,S15-IF(I15&lt;&gt;"",I15,R15)),IF(OR(I15&lt;&gt;"",R15&lt;&gt;""),MAX(0,TODAY()-IF(I15&lt;&gt;"",I15,R15)),0)))</x:f>
      </x:c>
      <x:c r="W15" s="95"/>
      <x:c r="X15" s="95"/>
      <x:c r="Y15" s="92"/>
      <x:c r="Z15" s="92"/>
      <x:c r="AA15" s="92"/>
      <x:c r="AB15" s="92"/>
      <x:c r="AC15" s="113" t="str">
        <x:f>IF(A15="","",IF(P15="","",IF(S15&lt;&gt;"",S15-P15,TODAY()-P15)))</x:f>
      </x:c>
    </x:row>
    <x:row r="16" ht="28" customHeight="1">
      <x:c r="A16" s="92"/>
      <x:c r="B16" s="95"/>
      <x:c r="C16" s="92"/>
      <x:c r="D16" s="92"/>
      <x:c r="E16" s="92"/>
      <x:c r="F16" s="92"/>
      <x:c r="G16" s="92"/>
      <x:c r="H16" s="92"/>
      <x:c r="I16" s="101"/>
      <x:c r="J16" s="107"/>
      <x:c r="K16" s="110" t="str">
        <x:f>IF(A16="","",IFERROR(VLOOKUP(C16,'Cấu hình'!$A$12:$D$19,2,FALSE),0))</x:f>
      </x:c>
      <x:c r="L16" s="92"/>
      <x:c r="M16" s="92"/>
      <x:c r="N16" s="95"/>
      <x:c r="O16" s="101"/>
      <x:c r="P16" s="101"/>
      <x:c r="Q16" s="101"/>
      <x:c r="R16" s="104" t="str">
        <x:f>IF(OR(P16="",D16=""),"",P16+IFERROR(VLOOKUP(D16,'Cấu hình'!$E$12:$G$15,3,FALSE),0))</x:f>
      </x:c>
      <x:c r="S16" s="101"/>
      <x:c r="T16" s="107"/>
      <x:c r="U16" s="113" t="str">
        <x:f>IF(A16="","",IF(S16&lt;&gt;"",0,IF(I16&lt;&gt;"",I16-TODAY(),IF(R16&lt;&gt;"",R16-TODAY(),""))))</x:f>
      </x:c>
      <x:c r="V16" s="113" t="str">
        <x:f>IF(A16="","",IF(S16&lt;&gt;"",MAX(0,S16-IF(I16&lt;&gt;"",I16,R16)),IF(OR(I16&lt;&gt;"",R16&lt;&gt;""),MAX(0,TODAY()-IF(I16&lt;&gt;"",I16,R16)),0)))</x:f>
      </x:c>
      <x:c r="W16" s="95"/>
      <x:c r="X16" s="95"/>
      <x:c r="Y16" s="92"/>
      <x:c r="Z16" s="92"/>
      <x:c r="AA16" s="92"/>
      <x:c r="AB16" s="92"/>
      <x:c r="AC16" s="113" t="str">
        <x:f>IF(A16="","",IF(P16="","",IF(S16&lt;&gt;"",S16-P16,TODAY()-P16)))</x:f>
      </x:c>
    </x:row>
    <x:row r="17" ht="28" customHeight="1">
      <x:c r="A17" s="92"/>
      <x:c r="B17" s="95"/>
      <x:c r="C17" s="92"/>
      <x:c r="D17" s="92"/>
      <x:c r="E17" s="92"/>
      <x:c r="F17" s="92"/>
      <x:c r="G17" s="92"/>
      <x:c r="H17" s="92"/>
      <x:c r="I17" s="101"/>
      <x:c r="J17" s="107"/>
      <x:c r="K17" s="110" t="str">
        <x:f>IF(A17="","",IFERROR(VLOOKUP(C17,'Cấu hình'!$A$12:$D$19,2,FALSE),0))</x:f>
      </x:c>
      <x:c r="L17" s="92"/>
      <x:c r="M17" s="92"/>
      <x:c r="N17" s="95"/>
      <x:c r="O17" s="101"/>
      <x:c r="P17" s="101"/>
      <x:c r="Q17" s="101"/>
      <x:c r="R17" s="104" t="str">
        <x:f>IF(OR(P17="",D17=""),"",P17+IFERROR(VLOOKUP(D17,'Cấu hình'!$E$12:$G$15,3,FALSE),0))</x:f>
      </x:c>
      <x:c r="S17" s="101"/>
      <x:c r="T17" s="107"/>
      <x:c r="U17" s="113" t="str">
        <x:f>IF(A17="","",IF(S17&lt;&gt;"",0,IF(I17&lt;&gt;"",I17-TODAY(),IF(R17&lt;&gt;"",R17-TODAY(),""))))</x:f>
      </x:c>
      <x:c r="V17" s="113" t="str">
        <x:f>IF(A17="","",IF(S17&lt;&gt;"",MAX(0,S17-IF(I17&lt;&gt;"",I17,R17)),IF(OR(I17&lt;&gt;"",R17&lt;&gt;""),MAX(0,TODAY()-IF(I17&lt;&gt;"",I17,R17)),0)))</x:f>
      </x:c>
      <x:c r="W17" s="95"/>
      <x:c r="X17" s="95"/>
      <x:c r="Y17" s="92"/>
      <x:c r="Z17" s="92"/>
      <x:c r="AA17" s="92"/>
      <x:c r="AB17" s="92"/>
      <x:c r="AC17" s="113" t="str">
        <x:f>IF(A17="","",IF(P17="","",IF(S17&lt;&gt;"",S17-P17,TODAY()-P17)))</x:f>
      </x:c>
    </x:row>
    <x:row r="18" ht="28" customHeight="1">
      <x:c r="A18" s="92"/>
      <x:c r="B18" s="95"/>
      <x:c r="C18" s="92"/>
      <x:c r="D18" s="92"/>
      <x:c r="E18" s="92"/>
      <x:c r="F18" s="92"/>
      <x:c r="G18" s="92"/>
      <x:c r="H18" s="92"/>
      <x:c r="I18" s="101"/>
      <x:c r="J18" s="107"/>
      <x:c r="K18" s="110" t="str">
        <x:f>IF(A18="","",IFERROR(VLOOKUP(C18,'Cấu hình'!$A$12:$D$19,2,FALSE),0))</x:f>
      </x:c>
      <x:c r="L18" s="92"/>
      <x:c r="M18" s="92"/>
      <x:c r="N18" s="95"/>
      <x:c r="O18" s="101"/>
      <x:c r="P18" s="101"/>
      <x:c r="Q18" s="101"/>
      <x:c r="R18" s="104" t="str">
        <x:f>IF(OR(P18="",D18=""),"",P18+IFERROR(VLOOKUP(D18,'Cấu hình'!$E$12:$G$15,3,FALSE),0))</x:f>
      </x:c>
      <x:c r="S18" s="101"/>
      <x:c r="T18" s="107"/>
      <x:c r="U18" s="113" t="str">
        <x:f>IF(A18="","",IF(S18&lt;&gt;"",0,IF(I18&lt;&gt;"",I18-TODAY(),IF(R18&lt;&gt;"",R18-TODAY(),""))))</x:f>
      </x:c>
      <x:c r="V18" s="113" t="str">
        <x:f>IF(A18="","",IF(S18&lt;&gt;"",MAX(0,S18-IF(I18&lt;&gt;"",I18,R18)),IF(OR(I18&lt;&gt;"",R18&lt;&gt;""),MAX(0,TODAY()-IF(I18&lt;&gt;"",I18,R18)),0)))</x:f>
      </x:c>
      <x:c r="W18" s="95"/>
      <x:c r="X18" s="95"/>
      <x:c r="Y18" s="92"/>
      <x:c r="Z18" s="92"/>
      <x:c r="AA18" s="92"/>
      <x:c r="AB18" s="92"/>
      <x:c r="AC18" s="113" t="str">
        <x:f>IF(A18="","",IF(P18="","",IF(S18&lt;&gt;"",S18-P18,TODAY()-P18)))</x:f>
      </x:c>
    </x:row>
    <x:row r="19" ht="28" customHeight="1">
      <x:c r="A19" s="92"/>
      <x:c r="B19" s="95"/>
      <x:c r="C19" s="92"/>
      <x:c r="D19" s="92"/>
      <x:c r="E19" s="92"/>
      <x:c r="F19" s="92"/>
      <x:c r="G19" s="92"/>
      <x:c r="H19" s="92"/>
      <x:c r="I19" s="101"/>
      <x:c r="J19" s="107"/>
      <x:c r="K19" s="110" t="str">
        <x:f>IF(A19="","",IFERROR(VLOOKUP(C19,'Cấu hình'!$A$12:$D$19,2,FALSE),0))</x:f>
      </x:c>
      <x:c r="L19" s="92"/>
      <x:c r="M19" s="92"/>
      <x:c r="N19" s="95"/>
      <x:c r="O19" s="101"/>
      <x:c r="P19" s="101"/>
      <x:c r="Q19" s="101"/>
      <x:c r="R19" s="104" t="str">
        <x:f>IF(OR(P19="",D19=""),"",P19+IFERROR(VLOOKUP(D19,'Cấu hình'!$E$12:$G$15,3,FALSE),0))</x:f>
      </x:c>
      <x:c r="S19" s="101"/>
      <x:c r="T19" s="107"/>
      <x:c r="U19" s="113" t="str">
        <x:f>IF(A19="","",IF(S19&lt;&gt;"",0,IF(I19&lt;&gt;"",I19-TODAY(),IF(R19&lt;&gt;"",R19-TODAY(),""))))</x:f>
      </x:c>
      <x:c r="V19" s="113" t="str">
        <x:f>IF(A19="","",IF(S19&lt;&gt;"",MAX(0,S19-IF(I19&lt;&gt;"",I19,R19)),IF(OR(I19&lt;&gt;"",R19&lt;&gt;""),MAX(0,TODAY()-IF(I19&lt;&gt;"",I19,R19)),0)))</x:f>
      </x:c>
      <x:c r="W19" s="95"/>
      <x:c r="X19" s="95"/>
      <x:c r="Y19" s="92"/>
      <x:c r="Z19" s="92"/>
      <x:c r="AA19" s="92"/>
      <x:c r="AB19" s="92"/>
      <x:c r="AC19" s="113" t="str">
        <x:f>IF(A19="","",IF(P19="","",IF(S19&lt;&gt;"",S19-P19,TODAY()-P19)))</x:f>
      </x:c>
    </x:row>
    <x:row r="20" ht="28" customHeight="1">
      <x:c r="A20" s="92"/>
      <x:c r="B20" s="95"/>
      <x:c r="C20" s="92"/>
      <x:c r="D20" s="92"/>
      <x:c r="E20" s="92"/>
      <x:c r="F20" s="92"/>
      <x:c r="G20" s="92"/>
      <x:c r="H20" s="92"/>
      <x:c r="I20" s="101"/>
      <x:c r="J20" s="107"/>
      <x:c r="K20" s="110" t="str">
        <x:f>IF(A20="","",IFERROR(VLOOKUP(C20,'Cấu hình'!$A$12:$D$19,2,FALSE),0))</x:f>
      </x:c>
      <x:c r="L20" s="92"/>
      <x:c r="M20" s="92"/>
      <x:c r="N20" s="95"/>
      <x:c r="O20" s="101"/>
      <x:c r="P20" s="101"/>
      <x:c r="Q20" s="101"/>
      <x:c r="R20" s="104" t="str">
        <x:f>IF(OR(P20="",D20=""),"",P20+IFERROR(VLOOKUP(D20,'Cấu hình'!$E$12:$G$15,3,FALSE),0))</x:f>
      </x:c>
      <x:c r="S20" s="101"/>
      <x:c r="T20" s="107"/>
      <x:c r="U20" s="113" t="str">
        <x:f>IF(A20="","",IF(S20&lt;&gt;"",0,IF(I20&lt;&gt;"",I20-TODAY(),IF(R20&lt;&gt;"",R20-TODAY(),""))))</x:f>
      </x:c>
      <x:c r="V20" s="113" t="str">
        <x:f>IF(A20="","",IF(S20&lt;&gt;"",MAX(0,S20-IF(I20&lt;&gt;"",I20,R20)),IF(OR(I20&lt;&gt;"",R20&lt;&gt;""),MAX(0,TODAY()-IF(I20&lt;&gt;"",I20,R20)),0)))</x:f>
      </x:c>
      <x:c r="W20" s="95"/>
      <x:c r="X20" s="95"/>
      <x:c r="Y20" s="92"/>
      <x:c r="Z20" s="92"/>
      <x:c r="AA20" s="92"/>
      <x:c r="AB20" s="92"/>
      <x:c r="AC20" s="113" t="str">
        <x:f>IF(A20="","",IF(P20="","",IF(S20&lt;&gt;"",S20-P20,TODAY()-P20)))</x:f>
      </x:c>
    </x:row>
    <x:row r="21" ht="28" customHeight="1">
      <x:c r="A21" s="92"/>
      <x:c r="B21" s="95"/>
      <x:c r="C21" s="92"/>
      <x:c r="D21" s="92"/>
      <x:c r="E21" s="92"/>
      <x:c r="F21" s="92"/>
      <x:c r="G21" s="92"/>
      <x:c r="H21" s="92"/>
      <x:c r="I21" s="101"/>
      <x:c r="J21" s="107"/>
      <x:c r="K21" s="110" t="str">
        <x:f>IF(A21="","",IFERROR(VLOOKUP(C21,'Cấu hình'!$A$12:$D$19,2,FALSE),0))</x:f>
      </x:c>
      <x:c r="L21" s="92"/>
      <x:c r="M21" s="92"/>
      <x:c r="N21" s="95"/>
      <x:c r="O21" s="101"/>
      <x:c r="P21" s="101"/>
      <x:c r="Q21" s="101"/>
      <x:c r="R21" s="104" t="str">
        <x:f>IF(OR(P21="",D21=""),"",P21+IFERROR(VLOOKUP(D21,'Cấu hình'!$E$12:$G$15,3,FALSE),0))</x:f>
      </x:c>
      <x:c r="S21" s="101"/>
      <x:c r="T21" s="107"/>
      <x:c r="U21" s="113" t="str">
        <x:f>IF(A21="","",IF(S21&lt;&gt;"",0,IF(I21&lt;&gt;"",I21-TODAY(),IF(R21&lt;&gt;"",R21-TODAY(),""))))</x:f>
      </x:c>
      <x:c r="V21" s="113" t="str">
        <x:f>IF(A21="","",IF(S21&lt;&gt;"",MAX(0,S21-IF(I21&lt;&gt;"",I21,R21)),IF(OR(I21&lt;&gt;"",R21&lt;&gt;""),MAX(0,TODAY()-IF(I21&lt;&gt;"",I21,R21)),0)))</x:f>
      </x:c>
      <x:c r="W21" s="95"/>
      <x:c r="X21" s="95"/>
      <x:c r="Y21" s="92"/>
      <x:c r="Z21" s="92"/>
      <x:c r="AA21" s="92"/>
      <x:c r="AB21" s="92"/>
      <x:c r="AC21" s="113" t="str">
        <x:f>IF(A21="","",IF(P21="","",IF(S21&lt;&gt;"",S21-P21,TODAY()-P21)))</x:f>
      </x:c>
    </x:row>
    <x:row r="22" ht="28" customHeight="1">
      <x:c r="A22" s="92"/>
      <x:c r="B22" s="95"/>
      <x:c r="C22" s="92"/>
      <x:c r="D22" s="92"/>
      <x:c r="E22" s="92"/>
      <x:c r="F22" s="92"/>
      <x:c r="G22" s="92"/>
      <x:c r="H22" s="92"/>
      <x:c r="I22" s="101"/>
      <x:c r="J22" s="107"/>
      <x:c r="K22" s="110" t="str">
        <x:f>IF(A22="","",IFERROR(VLOOKUP(C22,'Cấu hình'!$A$12:$D$19,2,FALSE),0))</x:f>
      </x:c>
      <x:c r="L22" s="92"/>
      <x:c r="M22" s="92"/>
      <x:c r="N22" s="95"/>
      <x:c r="O22" s="101"/>
      <x:c r="P22" s="101"/>
      <x:c r="Q22" s="101"/>
      <x:c r="R22" s="104" t="str">
        <x:f>IF(OR(P22="",D22=""),"",P22+IFERROR(VLOOKUP(D22,'Cấu hình'!$E$12:$G$15,3,FALSE),0))</x:f>
      </x:c>
      <x:c r="S22" s="101"/>
      <x:c r="T22" s="107"/>
      <x:c r="U22" s="113" t="str">
        <x:f>IF(A22="","",IF(S22&lt;&gt;"",0,IF(I22&lt;&gt;"",I22-TODAY(),IF(R22&lt;&gt;"",R22-TODAY(),""))))</x:f>
      </x:c>
      <x:c r="V22" s="113" t="str">
        <x:f>IF(A22="","",IF(S22&lt;&gt;"",MAX(0,S22-IF(I22&lt;&gt;"",I22,R22)),IF(OR(I22&lt;&gt;"",R22&lt;&gt;""),MAX(0,TODAY()-IF(I22&lt;&gt;"",I22,R22)),0)))</x:f>
      </x:c>
      <x:c r="W22" s="95"/>
      <x:c r="X22" s="95"/>
      <x:c r="Y22" s="92"/>
      <x:c r="Z22" s="92"/>
      <x:c r="AA22" s="92"/>
      <x:c r="AB22" s="92"/>
      <x:c r="AC22" s="113" t="str">
        <x:f>IF(A22="","",IF(P22="","",IF(S22&lt;&gt;"",S22-P22,TODAY()-P22)))</x:f>
      </x:c>
    </x:row>
    <x:row r="23" ht="28" customHeight="1">
      <x:c r="A23" s="92"/>
      <x:c r="B23" s="95"/>
      <x:c r="C23" s="92"/>
      <x:c r="D23" s="92"/>
      <x:c r="E23" s="92"/>
      <x:c r="F23" s="92"/>
      <x:c r="G23" s="92"/>
      <x:c r="H23" s="92"/>
      <x:c r="I23" s="101"/>
      <x:c r="J23" s="107"/>
      <x:c r="K23" s="110" t="str">
        <x:f>IF(A23="","",IFERROR(VLOOKUP(C23,'Cấu hình'!$A$12:$D$19,2,FALSE),0))</x:f>
      </x:c>
      <x:c r="L23" s="92"/>
      <x:c r="M23" s="92"/>
      <x:c r="N23" s="95"/>
      <x:c r="O23" s="101"/>
      <x:c r="P23" s="101"/>
      <x:c r="Q23" s="101"/>
      <x:c r="R23" s="104" t="str">
        <x:f>IF(OR(P23="",D23=""),"",P23+IFERROR(VLOOKUP(D23,'Cấu hình'!$E$12:$G$15,3,FALSE),0))</x:f>
      </x:c>
      <x:c r="S23" s="101"/>
      <x:c r="T23" s="107"/>
      <x:c r="U23" s="113" t="str">
        <x:f>IF(A23="","",IF(S23&lt;&gt;"",0,IF(I23&lt;&gt;"",I23-TODAY(),IF(R23&lt;&gt;"",R23-TODAY(),""))))</x:f>
      </x:c>
      <x:c r="V23" s="113" t="str">
        <x:f>IF(A23="","",IF(S23&lt;&gt;"",MAX(0,S23-IF(I23&lt;&gt;"",I23,R23)),IF(OR(I23&lt;&gt;"",R23&lt;&gt;""),MAX(0,TODAY()-IF(I23&lt;&gt;"",I23,R23)),0)))</x:f>
      </x:c>
      <x:c r="W23" s="95"/>
      <x:c r="X23" s="95"/>
      <x:c r="Y23" s="92"/>
      <x:c r="Z23" s="92"/>
      <x:c r="AA23" s="92"/>
      <x:c r="AB23" s="92"/>
      <x:c r="AC23" s="113" t="str">
        <x:f>IF(A23="","",IF(P23="","",IF(S23&lt;&gt;"",S23-P23,TODAY()-P23)))</x:f>
      </x:c>
    </x:row>
    <x:row r="24" ht="28" customHeight="1">
      <x:c r="A24" s="92"/>
      <x:c r="B24" s="95"/>
      <x:c r="C24" s="92"/>
      <x:c r="D24" s="92"/>
      <x:c r="E24" s="92"/>
      <x:c r="F24" s="92"/>
      <x:c r="G24" s="92"/>
      <x:c r="H24" s="92"/>
      <x:c r="I24" s="101"/>
      <x:c r="J24" s="107"/>
      <x:c r="K24" s="110" t="str">
        <x:f>IF(A24="","",IFERROR(VLOOKUP(C24,'Cấu hình'!$A$12:$D$19,2,FALSE),0))</x:f>
      </x:c>
      <x:c r="L24" s="92"/>
      <x:c r="M24" s="92"/>
      <x:c r="N24" s="95"/>
      <x:c r="O24" s="101"/>
      <x:c r="P24" s="101"/>
      <x:c r="Q24" s="101"/>
      <x:c r="R24" s="104" t="str">
        <x:f>IF(OR(P24="",D24=""),"",P24+IFERROR(VLOOKUP(D24,'Cấu hình'!$E$12:$G$15,3,FALSE),0))</x:f>
      </x:c>
      <x:c r="S24" s="101"/>
      <x:c r="T24" s="107"/>
      <x:c r="U24" s="113" t="str">
        <x:f>IF(A24="","",IF(S24&lt;&gt;"",0,IF(I24&lt;&gt;"",I24-TODAY(),IF(R24&lt;&gt;"",R24-TODAY(),""))))</x:f>
      </x:c>
      <x:c r="V24" s="113" t="str">
        <x:f>IF(A24="","",IF(S24&lt;&gt;"",MAX(0,S24-IF(I24&lt;&gt;"",I24,R24)),IF(OR(I24&lt;&gt;"",R24&lt;&gt;""),MAX(0,TODAY()-IF(I24&lt;&gt;"",I24,R24)),0)))</x:f>
      </x:c>
      <x:c r="W24" s="95"/>
      <x:c r="X24" s="95"/>
      <x:c r="Y24" s="92"/>
      <x:c r="Z24" s="92"/>
      <x:c r="AA24" s="92"/>
      <x:c r="AB24" s="92"/>
      <x:c r="AC24" s="113" t="str">
        <x:f>IF(A24="","",IF(P24="","",IF(S24&lt;&gt;"",S24-P24,TODAY()-P24)))</x:f>
      </x:c>
    </x:row>
    <x:row r="25" ht="28" customHeight="1">
      <x:c r="A25" s="92"/>
      <x:c r="B25" s="95"/>
      <x:c r="C25" s="92"/>
      <x:c r="D25" s="92"/>
      <x:c r="E25" s="92"/>
      <x:c r="F25" s="92"/>
      <x:c r="G25" s="92"/>
      <x:c r="H25" s="92"/>
      <x:c r="I25" s="101"/>
      <x:c r="J25" s="107"/>
      <x:c r="K25" s="110" t="str">
        <x:f>IF(A25="","",IFERROR(VLOOKUP(C25,'Cấu hình'!$A$12:$D$19,2,FALSE),0))</x:f>
      </x:c>
      <x:c r="L25" s="92"/>
      <x:c r="M25" s="92"/>
      <x:c r="N25" s="95"/>
      <x:c r="O25" s="101"/>
      <x:c r="P25" s="101"/>
      <x:c r="Q25" s="101"/>
      <x:c r="R25" s="104" t="str">
        <x:f>IF(OR(P25="",D25=""),"",P25+IFERROR(VLOOKUP(D25,'Cấu hình'!$E$12:$G$15,3,FALSE),0))</x:f>
      </x:c>
      <x:c r="S25" s="101"/>
      <x:c r="T25" s="107"/>
      <x:c r="U25" s="113" t="str">
        <x:f>IF(A25="","",IF(S25&lt;&gt;"",0,IF(I25&lt;&gt;"",I25-TODAY(),IF(R25&lt;&gt;"",R25-TODAY(),""))))</x:f>
      </x:c>
      <x:c r="V25" s="113" t="str">
        <x:f>IF(A25="","",IF(S25&lt;&gt;"",MAX(0,S25-IF(I25&lt;&gt;"",I25,R25)),IF(OR(I25&lt;&gt;"",R25&lt;&gt;""),MAX(0,TODAY()-IF(I25&lt;&gt;"",I25,R25)),0)))</x:f>
      </x:c>
      <x:c r="W25" s="95"/>
      <x:c r="X25" s="95"/>
      <x:c r="Y25" s="92"/>
      <x:c r="Z25" s="92"/>
      <x:c r="AA25" s="92"/>
      <x:c r="AB25" s="92"/>
      <x:c r="AC25" s="113" t="str">
        <x:f>IF(A25="","",IF(P25="","",IF(S25&lt;&gt;"",S25-P25,TODAY()-P25)))</x:f>
      </x:c>
    </x:row>
    <x:row r="26" ht="28" customHeight="1">
      <x:c r="A26" s="92"/>
      <x:c r="B26" s="95"/>
      <x:c r="C26" s="92"/>
      <x:c r="D26" s="92"/>
      <x:c r="E26" s="92"/>
      <x:c r="F26" s="92"/>
      <x:c r="G26" s="92"/>
      <x:c r="H26" s="92"/>
      <x:c r="I26" s="101"/>
      <x:c r="J26" s="107"/>
      <x:c r="K26" s="110" t="str">
        <x:f>IF(A26="","",IFERROR(VLOOKUP(C26,'Cấu hình'!$A$12:$D$19,2,FALSE),0))</x:f>
      </x:c>
      <x:c r="L26" s="92"/>
      <x:c r="M26" s="92"/>
      <x:c r="N26" s="95"/>
      <x:c r="O26" s="101"/>
      <x:c r="P26" s="101"/>
      <x:c r="Q26" s="101"/>
      <x:c r="R26" s="104" t="str">
        <x:f>IF(OR(P26="",D26=""),"",P26+IFERROR(VLOOKUP(D26,'Cấu hình'!$E$12:$G$15,3,FALSE),0))</x:f>
      </x:c>
      <x:c r="S26" s="101"/>
      <x:c r="T26" s="107"/>
      <x:c r="U26" s="113" t="str">
        <x:f>IF(A26="","",IF(S26&lt;&gt;"",0,IF(I26&lt;&gt;"",I26-TODAY(),IF(R26&lt;&gt;"",R26-TODAY(),""))))</x:f>
      </x:c>
      <x:c r="V26" s="113" t="str">
        <x:f>IF(A26="","",IF(S26&lt;&gt;"",MAX(0,S26-IF(I26&lt;&gt;"",I26,R26)),IF(OR(I26&lt;&gt;"",R26&lt;&gt;""),MAX(0,TODAY()-IF(I26&lt;&gt;"",I26,R26)),0)))</x:f>
      </x:c>
      <x:c r="W26" s="95"/>
      <x:c r="X26" s="95"/>
      <x:c r="Y26" s="92"/>
      <x:c r="Z26" s="92"/>
      <x:c r="AA26" s="92"/>
      <x:c r="AB26" s="92"/>
      <x:c r="AC26" s="113" t="str">
        <x:f>IF(A26="","",IF(P26="","",IF(S26&lt;&gt;"",S26-P26,TODAY()-P26)))</x:f>
      </x:c>
    </x:row>
    <x:row r="27" ht="28" customHeight="1">
      <x:c r="A27" s="92"/>
      <x:c r="B27" s="95"/>
      <x:c r="C27" s="92"/>
      <x:c r="D27" s="92"/>
      <x:c r="E27" s="92"/>
      <x:c r="F27" s="92"/>
      <x:c r="G27" s="92"/>
      <x:c r="H27" s="92"/>
      <x:c r="I27" s="101"/>
      <x:c r="J27" s="107"/>
      <x:c r="K27" s="110" t="str">
        <x:f>IF(A27="","",IFERROR(VLOOKUP(C27,'Cấu hình'!$A$12:$D$19,2,FALSE),0))</x:f>
      </x:c>
      <x:c r="L27" s="92"/>
      <x:c r="M27" s="92"/>
      <x:c r="N27" s="95"/>
      <x:c r="O27" s="101"/>
      <x:c r="P27" s="101"/>
      <x:c r="Q27" s="101"/>
      <x:c r="R27" s="104" t="str">
        <x:f>IF(OR(P27="",D27=""),"",P27+IFERROR(VLOOKUP(D27,'Cấu hình'!$E$12:$G$15,3,FALSE),0))</x:f>
      </x:c>
      <x:c r="S27" s="101"/>
      <x:c r="T27" s="107"/>
      <x:c r="U27" s="113" t="str">
        <x:f>IF(A27="","",IF(S27&lt;&gt;"",0,IF(I27&lt;&gt;"",I27-TODAY(),IF(R27&lt;&gt;"",R27-TODAY(),""))))</x:f>
      </x:c>
      <x:c r="V27" s="113" t="str">
        <x:f>IF(A27="","",IF(S27&lt;&gt;"",MAX(0,S27-IF(I27&lt;&gt;"",I27,R27)),IF(OR(I27&lt;&gt;"",R27&lt;&gt;""),MAX(0,TODAY()-IF(I27&lt;&gt;"",I27,R27)),0)))</x:f>
      </x:c>
      <x:c r="W27" s="95"/>
      <x:c r="X27" s="95"/>
      <x:c r="Y27" s="92"/>
      <x:c r="Z27" s="92"/>
      <x:c r="AA27" s="92"/>
      <x:c r="AB27" s="92"/>
      <x:c r="AC27" s="113" t="str">
        <x:f>IF(A27="","",IF(P27="","",IF(S27&lt;&gt;"",S27-P27,TODAY()-P27)))</x:f>
      </x:c>
    </x:row>
    <x:row r="28" ht="28" customHeight="1">
      <x:c r="A28" s="92"/>
      <x:c r="B28" s="95"/>
      <x:c r="C28" s="92"/>
      <x:c r="D28" s="92"/>
      <x:c r="E28" s="92"/>
      <x:c r="F28" s="92"/>
      <x:c r="G28" s="92"/>
      <x:c r="H28" s="92"/>
      <x:c r="I28" s="101"/>
      <x:c r="J28" s="107"/>
      <x:c r="K28" s="110" t="str">
        <x:f>IF(A28="","",IFERROR(VLOOKUP(C28,'Cấu hình'!$A$12:$D$19,2,FALSE),0))</x:f>
      </x:c>
      <x:c r="L28" s="92"/>
      <x:c r="M28" s="92"/>
      <x:c r="N28" s="95"/>
      <x:c r="O28" s="101"/>
      <x:c r="P28" s="101"/>
      <x:c r="Q28" s="101"/>
      <x:c r="R28" s="104" t="str">
        <x:f>IF(OR(P28="",D28=""),"",P28+IFERROR(VLOOKUP(D28,'Cấu hình'!$E$12:$G$15,3,FALSE),0))</x:f>
      </x:c>
      <x:c r="S28" s="101"/>
      <x:c r="T28" s="107"/>
      <x:c r="U28" s="113" t="str">
        <x:f>IF(A28="","",IF(S28&lt;&gt;"",0,IF(I28&lt;&gt;"",I28-TODAY(),IF(R28&lt;&gt;"",R28-TODAY(),""))))</x:f>
      </x:c>
      <x:c r="V28" s="113" t="str">
        <x:f>IF(A28="","",IF(S28&lt;&gt;"",MAX(0,S28-IF(I28&lt;&gt;"",I28,R28)),IF(OR(I28&lt;&gt;"",R28&lt;&gt;""),MAX(0,TODAY()-IF(I28&lt;&gt;"",I28,R28)),0)))</x:f>
      </x:c>
      <x:c r="W28" s="95"/>
      <x:c r="X28" s="95"/>
      <x:c r="Y28" s="92"/>
      <x:c r="Z28" s="92"/>
      <x:c r="AA28" s="92"/>
      <x:c r="AB28" s="92"/>
      <x:c r="AC28" s="113" t="str">
        <x:f>IF(A28="","",IF(P28="","",IF(S28&lt;&gt;"",S28-P28,TODAY()-P28)))</x:f>
      </x:c>
    </x:row>
    <x:row r="29" ht="28" customHeight="1">
      <x:c r="A29" s="92"/>
      <x:c r="B29" s="95"/>
      <x:c r="C29" s="92"/>
      <x:c r="D29" s="92"/>
      <x:c r="E29" s="92"/>
      <x:c r="F29" s="92"/>
      <x:c r="G29" s="92"/>
      <x:c r="H29" s="92"/>
      <x:c r="I29" s="101"/>
      <x:c r="J29" s="107"/>
      <x:c r="K29" s="110" t="str">
        <x:f>IF(A29="","",IFERROR(VLOOKUP(C29,'Cấu hình'!$A$12:$D$19,2,FALSE),0))</x:f>
      </x:c>
      <x:c r="L29" s="92"/>
      <x:c r="M29" s="92"/>
      <x:c r="N29" s="95"/>
      <x:c r="O29" s="101"/>
      <x:c r="P29" s="101"/>
      <x:c r="Q29" s="101"/>
      <x:c r="R29" s="104" t="str">
        <x:f>IF(OR(P29="",D29=""),"",P29+IFERROR(VLOOKUP(D29,'Cấu hình'!$E$12:$G$15,3,FALSE),0))</x:f>
      </x:c>
      <x:c r="S29" s="101"/>
      <x:c r="T29" s="107"/>
      <x:c r="U29" s="113" t="str">
        <x:f>IF(A29="","",IF(S29&lt;&gt;"",0,IF(I29&lt;&gt;"",I29-TODAY(),IF(R29&lt;&gt;"",R29-TODAY(),""))))</x:f>
      </x:c>
      <x:c r="V29" s="113" t="str">
        <x:f>IF(A29="","",IF(S29&lt;&gt;"",MAX(0,S29-IF(I29&lt;&gt;"",I29,R29)),IF(OR(I29&lt;&gt;"",R29&lt;&gt;""),MAX(0,TODAY()-IF(I29&lt;&gt;"",I29,R29)),0)))</x:f>
      </x:c>
      <x:c r="W29" s="95"/>
      <x:c r="X29" s="95"/>
      <x:c r="Y29" s="92"/>
      <x:c r="Z29" s="92"/>
      <x:c r="AA29" s="92"/>
      <x:c r="AB29" s="92"/>
      <x:c r="AC29" s="113" t="str">
        <x:f>IF(A29="","",IF(P29="","",IF(S29&lt;&gt;"",S29-P29,TODAY()-P29)))</x:f>
      </x:c>
    </x:row>
    <x:row r="30" ht="28" customHeight="1">
      <x:c r="A30" s="92"/>
      <x:c r="B30" s="95"/>
      <x:c r="C30" s="92"/>
      <x:c r="D30" s="92"/>
      <x:c r="E30" s="92"/>
      <x:c r="F30" s="92"/>
      <x:c r="G30" s="92"/>
      <x:c r="H30" s="92"/>
      <x:c r="I30" s="101"/>
      <x:c r="J30" s="107"/>
      <x:c r="K30" s="110" t="str">
        <x:f>IF(A30="","",IFERROR(VLOOKUP(C30,'Cấu hình'!$A$12:$D$19,2,FALSE),0))</x:f>
      </x:c>
      <x:c r="L30" s="92"/>
      <x:c r="M30" s="92"/>
      <x:c r="N30" s="95"/>
      <x:c r="O30" s="101"/>
      <x:c r="P30" s="101"/>
      <x:c r="Q30" s="101"/>
      <x:c r="R30" s="104" t="str">
        <x:f>IF(OR(P30="",D30=""),"",P30+IFERROR(VLOOKUP(D30,'Cấu hình'!$E$12:$G$15,3,FALSE),0))</x:f>
      </x:c>
      <x:c r="S30" s="101"/>
      <x:c r="T30" s="107"/>
      <x:c r="U30" s="113" t="str">
        <x:f>IF(A30="","",IF(S30&lt;&gt;"",0,IF(I30&lt;&gt;"",I30-TODAY(),IF(R30&lt;&gt;"",R30-TODAY(),""))))</x:f>
      </x:c>
      <x:c r="V30" s="113" t="str">
        <x:f>IF(A30="","",IF(S30&lt;&gt;"",MAX(0,S30-IF(I30&lt;&gt;"",I30,R30)),IF(OR(I30&lt;&gt;"",R30&lt;&gt;""),MAX(0,TODAY()-IF(I30&lt;&gt;"",I30,R30)),0)))</x:f>
      </x:c>
      <x:c r="W30" s="95"/>
      <x:c r="X30" s="95"/>
      <x:c r="Y30" s="92"/>
      <x:c r="Z30" s="92"/>
      <x:c r="AA30" s="92"/>
      <x:c r="AB30" s="92"/>
      <x:c r="AC30" s="113" t="str">
        <x:f>IF(A30="","",IF(P30="","",IF(S30&lt;&gt;"",S30-P30,TODAY()-P30)))</x:f>
      </x:c>
    </x:row>
    <x:row r="31" ht="28" customHeight="1">
      <x:c r="A31" s="92"/>
      <x:c r="B31" s="95"/>
      <x:c r="C31" s="92"/>
      <x:c r="D31" s="92"/>
      <x:c r="E31" s="92"/>
      <x:c r="F31" s="92"/>
      <x:c r="G31" s="92"/>
      <x:c r="H31" s="92"/>
      <x:c r="I31" s="101"/>
      <x:c r="J31" s="107"/>
      <x:c r="K31" s="110" t="str">
        <x:f>IF(A31="","",IFERROR(VLOOKUP(C31,'Cấu hình'!$A$12:$D$19,2,FALSE),0))</x:f>
      </x:c>
      <x:c r="L31" s="92"/>
      <x:c r="M31" s="92"/>
      <x:c r="N31" s="95"/>
      <x:c r="O31" s="101"/>
      <x:c r="P31" s="101"/>
      <x:c r="Q31" s="101"/>
      <x:c r="R31" s="104" t="str">
        <x:f>IF(OR(P31="",D31=""),"",P31+IFERROR(VLOOKUP(D31,'Cấu hình'!$E$12:$G$15,3,FALSE),0))</x:f>
      </x:c>
      <x:c r="S31" s="101"/>
      <x:c r="T31" s="107"/>
      <x:c r="U31" s="113" t="str">
        <x:f>IF(A31="","",IF(S31&lt;&gt;"",0,IF(I31&lt;&gt;"",I31-TODAY(),IF(R31&lt;&gt;"",R31-TODAY(),""))))</x:f>
      </x:c>
      <x:c r="V31" s="113" t="str">
        <x:f>IF(A31="","",IF(S31&lt;&gt;"",MAX(0,S31-IF(I31&lt;&gt;"",I31,R31)),IF(OR(I31&lt;&gt;"",R31&lt;&gt;""),MAX(0,TODAY()-IF(I31&lt;&gt;"",I31,R31)),0)))</x:f>
      </x:c>
      <x:c r="W31" s="95"/>
      <x:c r="X31" s="95"/>
      <x:c r="Y31" s="92"/>
      <x:c r="Z31" s="92"/>
      <x:c r="AA31" s="92"/>
      <x:c r="AB31" s="92"/>
      <x:c r="AC31" s="113" t="str">
        <x:f>IF(A31="","",IF(P31="","",IF(S31&lt;&gt;"",S31-P31,TODAY()-P31)))</x:f>
      </x:c>
    </x:row>
    <x:row r="32" ht="28" customHeight="1">
      <x:c r="A32" s="92"/>
      <x:c r="B32" s="95"/>
      <x:c r="C32" s="92"/>
      <x:c r="D32" s="92"/>
      <x:c r="E32" s="92"/>
      <x:c r="F32" s="92"/>
      <x:c r="G32" s="92"/>
      <x:c r="H32" s="92"/>
      <x:c r="I32" s="101"/>
      <x:c r="J32" s="107"/>
      <x:c r="K32" s="110" t="str">
        <x:f>IF(A32="","",IFERROR(VLOOKUP(C32,'Cấu hình'!$A$12:$D$19,2,FALSE),0))</x:f>
      </x:c>
      <x:c r="L32" s="92"/>
      <x:c r="M32" s="92"/>
      <x:c r="N32" s="95"/>
      <x:c r="O32" s="101"/>
      <x:c r="P32" s="101"/>
      <x:c r="Q32" s="101"/>
      <x:c r="R32" s="104" t="str">
        <x:f>IF(OR(P32="",D32=""),"",P32+IFERROR(VLOOKUP(D32,'Cấu hình'!$E$12:$G$15,3,FALSE),0))</x:f>
      </x:c>
      <x:c r="S32" s="101"/>
      <x:c r="T32" s="107"/>
      <x:c r="U32" s="113" t="str">
        <x:f>IF(A32="","",IF(S32&lt;&gt;"",0,IF(I32&lt;&gt;"",I32-TODAY(),IF(R32&lt;&gt;"",R32-TODAY(),""))))</x:f>
      </x:c>
      <x:c r="V32" s="113" t="str">
        <x:f>IF(A32="","",IF(S32&lt;&gt;"",MAX(0,S32-IF(I32&lt;&gt;"",I32,R32)),IF(OR(I32&lt;&gt;"",R32&lt;&gt;""),MAX(0,TODAY()-IF(I32&lt;&gt;"",I32,R32)),0)))</x:f>
      </x:c>
      <x:c r="W32" s="95"/>
      <x:c r="X32" s="95"/>
      <x:c r="Y32" s="92"/>
      <x:c r="Z32" s="92"/>
      <x:c r="AA32" s="92"/>
      <x:c r="AB32" s="92"/>
      <x:c r="AC32" s="113" t="str">
        <x:f>IF(A32="","",IF(P32="","",IF(S32&lt;&gt;"",S32-P32,TODAY()-P32)))</x:f>
      </x:c>
    </x:row>
    <x:row r="33" ht="28" customHeight="1">
      <x:c r="A33" s="92"/>
      <x:c r="B33" s="95"/>
      <x:c r="C33" s="92"/>
      <x:c r="D33" s="92"/>
      <x:c r="E33" s="92"/>
      <x:c r="F33" s="92"/>
      <x:c r="G33" s="92"/>
      <x:c r="H33" s="92"/>
      <x:c r="I33" s="101"/>
      <x:c r="J33" s="107"/>
      <x:c r="K33" s="110" t="str">
        <x:f>IF(A33="","",IFERROR(VLOOKUP(C33,'Cấu hình'!$A$12:$D$19,2,FALSE),0))</x:f>
      </x:c>
      <x:c r="L33" s="92"/>
      <x:c r="M33" s="92"/>
      <x:c r="N33" s="95"/>
      <x:c r="O33" s="101"/>
      <x:c r="P33" s="101"/>
      <x:c r="Q33" s="101"/>
      <x:c r="R33" s="104" t="str">
        <x:f>IF(OR(P33="",D33=""),"",P33+IFERROR(VLOOKUP(D33,'Cấu hình'!$E$12:$G$15,3,FALSE),0))</x:f>
      </x:c>
      <x:c r="S33" s="101"/>
      <x:c r="T33" s="107"/>
      <x:c r="U33" s="113" t="str">
        <x:f>IF(A33="","",IF(S33&lt;&gt;"",0,IF(I33&lt;&gt;"",I33-TODAY(),IF(R33&lt;&gt;"",R33-TODAY(),""))))</x:f>
      </x:c>
      <x:c r="V33" s="113" t="str">
        <x:f>IF(A33="","",IF(S33&lt;&gt;"",MAX(0,S33-IF(I33&lt;&gt;"",I33,R33)),IF(OR(I33&lt;&gt;"",R33&lt;&gt;""),MAX(0,TODAY()-IF(I33&lt;&gt;"",I33,R33)),0)))</x:f>
      </x:c>
      <x:c r="W33" s="95"/>
      <x:c r="X33" s="95"/>
      <x:c r="Y33" s="92"/>
      <x:c r="Z33" s="92"/>
      <x:c r="AA33" s="92"/>
      <x:c r="AB33" s="92"/>
      <x:c r="AC33" s="113" t="str">
        <x:f>IF(A33="","",IF(P33="","",IF(S33&lt;&gt;"",S33-P33,TODAY()-P33)))</x:f>
      </x:c>
    </x:row>
    <x:row r="34" ht="28" customHeight="1">
      <x:c r="A34" s="92"/>
      <x:c r="B34" s="95"/>
      <x:c r="C34" s="92"/>
      <x:c r="D34" s="92"/>
      <x:c r="E34" s="92"/>
      <x:c r="F34" s="92"/>
      <x:c r="G34" s="92"/>
      <x:c r="H34" s="92"/>
      <x:c r="I34" s="101"/>
      <x:c r="J34" s="107"/>
      <x:c r="K34" s="110" t="str">
        <x:f>IF(A34="","",IFERROR(VLOOKUP(C34,'Cấu hình'!$A$12:$D$19,2,FALSE),0))</x:f>
      </x:c>
      <x:c r="L34" s="92"/>
      <x:c r="M34" s="92"/>
      <x:c r="N34" s="95"/>
      <x:c r="O34" s="101"/>
      <x:c r="P34" s="101"/>
      <x:c r="Q34" s="101"/>
      <x:c r="R34" s="104" t="str">
        <x:f>IF(OR(P34="",D34=""),"",P34+IFERROR(VLOOKUP(D34,'Cấu hình'!$E$12:$G$15,3,FALSE),0))</x:f>
      </x:c>
      <x:c r="S34" s="101"/>
      <x:c r="T34" s="107"/>
      <x:c r="U34" s="113" t="str">
        <x:f>IF(A34="","",IF(S34&lt;&gt;"",0,IF(I34&lt;&gt;"",I34-TODAY(),IF(R34&lt;&gt;"",R34-TODAY(),""))))</x:f>
      </x:c>
      <x:c r="V34" s="113" t="str">
        <x:f>IF(A34="","",IF(S34&lt;&gt;"",MAX(0,S34-IF(I34&lt;&gt;"",I34,R34)),IF(OR(I34&lt;&gt;"",R34&lt;&gt;""),MAX(0,TODAY()-IF(I34&lt;&gt;"",I34,R34)),0)))</x:f>
      </x:c>
      <x:c r="W34" s="95"/>
      <x:c r="X34" s="95"/>
      <x:c r="Y34" s="92"/>
      <x:c r="Z34" s="92"/>
      <x:c r="AA34" s="92"/>
      <x:c r="AB34" s="92"/>
      <x:c r="AC34" s="113" t="str">
        <x:f>IF(A34="","",IF(P34="","",IF(S34&lt;&gt;"",S34-P34,TODAY()-P34)))</x:f>
      </x:c>
    </x:row>
    <x:row r="35" ht="28" customHeight="1">
      <x:c r="A35" s="92"/>
      <x:c r="B35" s="95"/>
      <x:c r="C35" s="92"/>
      <x:c r="D35" s="92"/>
      <x:c r="E35" s="92"/>
      <x:c r="F35" s="92"/>
      <x:c r="G35" s="92"/>
      <x:c r="H35" s="92"/>
      <x:c r="I35" s="101"/>
      <x:c r="J35" s="107"/>
      <x:c r="K35" s="110" t="str">
        <x:f>IF(A35="","",IFERROR(VLOOKUP(C35,'Cấu hình'!$A$12:$D$19,2,FALSE),0))</x:f>
      </x:c>
      <x:c r="L35" s="92"/>
      <x:c r="M35" s="92"/>
      <x:c r="N35" s="95"/>
      <x:c r="O35" s="101"/>
      <x:c r="P35" s="101"/>
      <x:c r="Q35" s="101"/>
      <x:c r="R35" s="104" t="str">
        <x:f>IF(OR(P35="",D35=""),"",P35+IFERROR(VLOOKUP(D35,'Cấu hình'!$E$12:$G$15,3,FALSE),0))</x:f>
      </x:c>
      <x:c r="S35" s="101"/>
      <x:c r="T35" s="107"/>
      <x:c r="U35" s="113" t="str">
        <x:f>IF(A35="","",IF(S35&lt;&gt;"",0,IF(I35&lt;&gt;"",I35-TODAY(),IF(R35&lt;&gt;"",R35-TODAY(),""))))</x:f>
      </x:c>
      <x:c r="V35" s="113" t="str">
        <x:f>IF(A35="","",IF(S35&lt;&gt;"",MAX(0,S35-IF(I35&lt;&gt;"",I35,R35)),IF(OR(I35&lt;&gt;"",R35&lt;&gt;""),MAX(0,TODAY()-IF(I35&lt;&gt;"",I35,R35)),0)))</x:f>
      </x:c>
      <x:c r="W35" s="95"/>
      <x:c r="X35" s="95"/>
      <x:c r="Y35" s="92"/>
      <x:c r="Z35" s="92"/>
      <x:c r="AA35" s="92"/>
      <x:c r="AB35" s="92"/>
      <x:c r="AC35" s="113" t="str">
        <x:f>IF(A35="","",IF(P35="","",IF(S35&lt;&gt;"",S35-P35,TODAY()-P35)))</x:f>
      </x:c>
    </x:row>
    <x:row r="36" ht="28" customHeight="1">
      <x:c r="A36" s="92"/>
      <x:c r="B36" s="95"/>
      <x:c r="C36" s="92"/>
      <x:c r="D36" s="92"/>
      <x:c r="E36" s="92"/>
      <x:c r="F36" s="92"/>
      <x:c r="G36" s="92"/>
      <x:c r="H36" s="92"/>
      <x:c r="I36" s="101"/>
      <x:c r="J36" s="107"/>
      <x:c r="K36" s="110" t="str">
        <x:f>IF(A36="","",IFERROR(VLOOKUP(C36,'Cấu hình'!$A$12:$D$19,2,FALSE),0))</x:f>
      </x:c>
      <x:c r="L36" s="92"/>
      <x:c r="M36" s="92"/>
      <x:c r="N36" s="95"/>
      <x:c r="O36" s="101"/>
      <x:c r="P36" s="101"/>
      <x:c r="Q36" s="101"/>
      <x:c r="R36" s="104" t="str">
        <x:f>IF(OR(P36="",D36=""),"",P36+IFERROR(VLOOKUP(D36,'Cấu hình'!$E$12:$G$15,3,FALSE),0))</x:f>
      </x:c>
      <x:c r="S36" s="101"/>
      <x:c r="T36" s="107"/>
      <x:c r="U36" s="113" t="str">
        <x:f>IF(A36="","",IF(S36&lt;&gt;"",0,IF(I36&lt;&gt;"",I36-TODAY(),IF(R36&lt;&gt;"",R36-TODAY(),""))))</x:f>
      </x:c>
      <x:c r="V36" s="113" t="str">
        <x:f>IF(A36="","",IF(S36&lt;&gt;"",MAX(0,S36-IF(I36&lt;&gt;"",I36,R36)),IF(OR(I36&lt;&gt;"",R36&lt;&gt;""),MAX(0,TODAY()-IF(I36&lt;&gt;"",I36,R36)),0)))</x:f>
      </x:c>
      <x:c r="W36" s="95"/>
      <x:c r="X36" s="95"/>
      <x:c r="Y36" s="92"/>
      <x:c r="Z36" s="92"/>
      <x:c r="AA36" s="92"/>
      <x:c r="AB36" s="92"/>
      <x:c r="AC36" s="113" t="str">
        <x:f>IF(A36="","",IF(P36="","",IF(S36&lt;&gt;"",S36-P36,TODAY()-P36)))</x:f>
      </x:c>
    </x:row>
    <x:row r="37" ht="28" customHeight="1">
      <x:c r="A37" s="92"/>
      <x:c r="B37" s="95"/>
      <x:c r="C37" s="92"/>
      <x:c r="D37" s="92"/>
      <x:c r="E37" s="92"/>
      <x:c r="F37" s="92"/>
      <x:c r="G37" s="92"/>
      <x:c r="H37" s="92"/>
      <x:c r="I37" s="101"/>
      <x:c r="J37" s="107"/>
      <x:c r="K37" s="110" t="str">
        <x:f>IF(A37="","",IFERROR(VLOOKUP(C37,'Cấu hình'!$A$12:$D$19,2,FALSE),0))</x:f>
      </x:c>
      <x:c r="L37" s="92"/>
      <x:c r="M37" s="92"/>
      <x:c r="N37" s="95"/>
      <x:c r="O37" s="101"/>
      <x:c r="P37" s="101"/>
      <x:c r="Q37" s="101"/>
      <x:c r="R37" s="104" t="str">
        <x:f>IF(OR(P37="",D37=""),"",P37+IFERROR(VLOOKUP(D37,'Cấu hình'!$E$12:$G$15,3,FALSE),0))</x:f>
      </x:c>
      <x:c r="S37" s="101"/>
      <x:c r="T37" s="107"/>
      <x:c r="U37" s="113" t="str">
        <x:f>IF(A37="","",IF(S37&lt;&gt;"",0,IF(I37&lt;&gt;"",I37-TODAY(),IF(R37&lt;&gt;"",R37-TODAY(),""))))</x:f>
      </x:c>
      <x:c r="V37" s="113" t="str">
        <x:f>IF(A37="","",IF(S37&lt;&gt;"",MAX(0,S37-IF(I37&lt;&gt;"",I37,R37)),IF(OR(I37&lt;&gt;"",R37&lt;&gt;""),MAX(0,TODAY()-IF(I37&lt;&gt;"",I37,R37)),0)))</x:f>
      </x:c>
      <x:c r="W37" s="95"/>
      <x:c r="X37" s="95"/>
      <x:c r="Y37" s="92"/>
      <x:c r="Z37" s="92"/>
      <x:c r="AA37" s="92"/>
      <x:c r="AB37" s="92"/>
      <x:c r="AC37" s="113" t="str">
        <x:f>IF(A37="","",IF(P37="","",IF(S37&lt;&gt;"",S37-P37,TODAY()-P37)))</x:f>
      </x:c>
    </x:row>
    <x:row r="38" ht="28" customHeight="1">
      <x:c r="A38" s="92"/>
      <x:c r="B38" s="95"/>
      <x:c r="C38" s="92"/>
      <x:c r="D38" s="92"/>
      <x:c r="E38" s="92"/>
      <x:c r="F38" s="92"/>
      <x:c r="G38" s="92"/>
      <x:c r="H38" s="92"/>
      <x:c r="I38" s="101"/>
      <x:c r="J38" s="107"/>
      <x:c r="K38" s="110" t="str">
        <x:f>IF(A38="","",IFERROR(VLOOKUP(C38,'Cấu hình'!$A$12:$D$19,2,FALSE),0))</x:f>
      </x:c>
      <x:c r="L38" s="92"/>
      <x:c r="M38" s="92"/>
      <x:c r="N38" s="95"/>
      <x:c r="O38" s="101"/>
      <x:c r="P38" s="101"/>
      <x:c r="Q38" s="101"/>
      <x:c r="R38" s="104" t="str">
        <x:f>IF(OR(P38="",D38=""),"",P38+IFERROR(VLOOKUP(D38,'Cấu hình'!$E$12:$G$15,3,FALSE),0))</x:f>
      </x:c>
      <x:c r="S38" s="101"/>
      <x:c r="T38" s="107"/>
      <x:c r="U38" s="113" t="str">
        <x:f>IF(A38="","",IF(S38&lt;&gt;"",0,IF(I38&lt;&gt;"",I38-TODAY(),IF(R38&lt;&gt;"",R38-TODAY(),""))))</x:f>
      </x:c>
      <x:c r="V38" s="113" t="str">
        <x:f>IF(A38="","",IF(S38&lt;&gt;"",MAX(0,S38-IF(I38&lt;&gt;"",I38,R38)),IF(OR(I38&lt;&gt;"",R38&lt;&gt;""),MAX(0,TODAY()-IF(I38&lt;&gt;"",I38,R38)),0)))</x:f>
      </x:c>
      <x:c r="W38" s="95"/>
      <x:c r="X38" s="95"/>
      <x:c r="Y38" s="92"/>
      <x:c r="Z38" s="92"/>
      <x:c r="AA38" s="92"/>
      <x:c r="AB38" s="92"/>
      <x:c r="AC38" s="113" t="str">
        <x:f>IF(A38="","",IF(P38="","",IF(S38&lt;&gt;"",S38-P38,TODAY()-P38)))</x:f>
      </x:c>
    </x:row>
    <x:row r="39" ht="28" customHeight="1">
      <x:c r="A39" s="92"/>
      <x:c r="B39" s="95"/>
      <x:c r="C39" s="92"/>
      <x:c r="D39" s="92"/>
      <x:c r="E39" s="92"/>
      <x:c r="F39" s="92"/>
      <x:c r="G39" s="92"/>
      <x:c r="H39" s="92"/>
      <x:c r="I39" s="101"/>
      <x:c r="J39" s="107"/>
      <x:c r="K39" s="110" t="str">
        <x:f>IF(A39="","",IFERROR(VLOOKUP(C39,'Cấu hình'!$A$12:$D$19,2,FALSE),0))</x:f>
      </x:c>
      <x:c r="L39" s="92"/>
      <x:c r="M39" s="92"/>
      <x:c r="N39" s="95"/>
      <x:c r="O39" s="101"/>
      <x:c r="P39" s="101"/>
      <x:c r="Q39" s="101"/>
      <x:c r="R39" s="104" t="str">
        <x:f>IF(OR(P39="",D39=""),"",P39+IFERROR(VLOOKUP(D39,'Cấu hình'!$E$12:$G$15,3,FALSE),0))</x:f>
      </x:c>
      <x:c r="S39" s="101"/>
      <x:c r="T39" s="107"/>
      <x:c r="U39" s="113" t="str">
        <x:f>IF(A39="","",IF(S39&lt;&gt;"",0,IF(I39&lt;&gt;"",I39-TODAY(),IF(R39&lt;&gt;"",R39-TODAY(),""))))</x:f>
      </x:c>
      <x:c r="V39" s="113" t="str">
        <x:f>IF(A39="","",IF(S39&lt;&gt;"",MAX(0,S39-IF(I39&lt;&gt;"",I39,R39)),IF(OR(I39&lt;&gt;"",R39&lt;&gt;""),MAX(0,TODAY()-IF(I39&lt;&gt;"",I39,R39)),0)))</x:f>
      </x:c>
      <x:c r="W39" s="95"/>
      <x:c r="X39" s="95"/>
      <x:c r="Y39" s="92"/>
      <x:c r="Z39" s="92"/>
      <x:c r="AA39" s="92"/>
      <x:c r="AB39" s="92"/>
      <x:c r="AC39" s="113" t="str">
        <x:f>IF(A39="","",IF(P39="","",IF(S39&lt;&gt;"",S39-P39,TODAY()-P39)))</x:f>
      </x:c>
    </x:row>
    <x:row r="40" ht="28" customHeight="1">
      <x:c r="A40" s="92"/>
      <x:c r="B40" s="95"/>
      <x:c r="C40" s="92"/>
      <x:c r="D40" s="92"/>
      <x:c r="E40" s="92"/>
      <x:c r="F40" s="92"/>
      <x:c r="G40" s="92"/>
      <x:c r="H40" s="92"/>
      <x:c r="I40" s="101"/>
      <x:c r="J40" s="107"/>
      <x:c r="K40" s="110" t="str">
        <x:f>IF(A40="","",IFERROR(VLOOKUP(C40,'Cấu hình'!$A$12:$D$19,2,FALSE),0))</x:f>
      </x:c>
      <x:c r="L40" s="92"/>
      <x:c r="M40" s="92"/>
      <x:c r="N40" s="95"/>
      <x:c r="O40" s="101"/>
      <x:c r="P40" s="101"/>
      <x:c r="Q40" s="101"/>
      <x:c r="R40" s="104" t="str">
        <x:f>IF(OR(P40="",D40=""),"",P40+IFERROR(VLOOKUP(D40,'Cấu hình'!$E$12:$G$15,3,FALSE),0))</x:f>
      </x:c>
      <x:c r="S40" s="101"/>
      <x:c r="T40" s="107"/>
      <x:c r="U40" s="113" t="str">
        <x:f>IF(A40="","",IF(S40&lt;&gt;"",0,IF(I40&lt;&gt;"",I40-TODAY(),IF(R40&lt;&gt;"",R40-TODAY(),""))))</x:f>
      </x:c>
      <x:c r="V40" s="113" t="str">
        <x:f>IF(A40="","",IF(S40&lt;&gt;"",MAX(0,S40-IF(I40&lt;&gt;"",I40,R40)),IF(OR(I40&lt;&gt;"",R40&lt;&gt;""),MAX(0,TODAY()-IF(I40&lt;&gt;"",I40,R40)),0)))</x:f>
      </x:c>
      <x:c r="W40" s="95"/>
      <x:c r="X40" s="95"/>
      <x:c r="Y40" s="92"/>
      <x:c r="Z40" s="92"/>
      <x:c r="AA40" s="92"/>
      <x:c r="AB40" s="92"/>
      <x:c r="AC40" s="113" t="str">
        <x:f>IF(A40="","",IF(P40="","",IF(S40&lt;&gt;"",S40-P40,TODAY()-P40)))</x:f>
      </x:c>
    </x:row>
    <x:row r="41" ht="28" customHeight="1">
      <x:c r="A41" s="92"/>
      <x:c r="B41" s="95"/>
      <x:c r="C41" s="92"/>
      <x:c r="D41" s="92"/>
      <x:c r="E41" s="92"/>
      <x:c r="F41" s="92"/>
      <x:c r="G41" s="92"/>
      <x:c r="H41" s="92"/>
      <x:c r="I41" s="101"/>
      <x:c r="J41" s="107"/>
      <x:c r="K41" s="110" t="str">
        <x:f>IF(A41="","",IFERROR(VLOOKUP(C41,'Cấu hình'!$A$12:$D$19,2,FALSE),0))</x:f>
      </x:c>
      <x:c r="L41" s="92"/>
      <x:c r="M41" s="92"/>
      <x:c r="N41" s="95"/>
      <x:c r="O41" s="101"/>
      <x:c r="P41" s="101"/>
      <x:c r="Q41" s="101"/>
      <x:c r="R41" s="104" t="str">
        <x:f>IF(OR(P41="",D41=""),"",P41+IFERROR(VLOOKUP(D41,'Cấu hình'!$E$12:$G$15,3,FALSE),0))</x:f>
      </x:c>
      <x:c r="S41" s="101"/>
      <x:c r="T41" s="107"/>
      <x:c r="U41" s="113" t="str">
        <x:f>IF(A41="","",IF(S41&lt;&gt;"",0,IF(I41&lt;&gt;"",I41-TODAY(),IF(R41&lt;&gt;"",R41-TODAY(),""))))</x:f>
      </x:c>
      <x:c r="V41" s="113" t="str">
        <x:f>IF(A41="","",IF(S41&lt;&gt;"",MAX(0,S41-IF(I41&lt;&gt;"",I41,R41)),IF(OR(I41&lt;&gt;"",R41&lt;&gt;""),MAX(0,TODAY()-IF(I41&lt;&gt;"",I41,R41)),0)))</x:f>
      </x:c>
      <x:c r="W41" s="95"/>
      <x:c r="X41" s="95"/>
      <x:c r="Y41" s="92"/>
      <x:c r="Z41" s="92"/>
      <x:c r="AA41" s="92"/>
      <x:c r="AB41" s="92"/>
      <x:c r="AC41" s="113" t="str">
        <x:f>IF(A41="","",IF(P41="","",IF(S41&lt;&gt;"",S41-P41,TODAY()-P41)))</x:f>
      </x:c>
    </x:row>
    <x:row r="42" ht="28" customHeight="1">
      <x:c r="A42" s="92"/>
      <x:c r="B42" s="95"/>
      <x:c r="C42" s="92"/>
      <x:c r="D42" s="92"/>
      <x:c r="E42" s="92"/>
      <x:c r="F42" s="92"/>
      <x:c r="G42" s="92"/>
      <x:c r="H42" s="92"/>
      <x:c r="I42" s="101"/>
      <x:c r="J42" s="107"/>
      <x:c r="K42" s="110" t="str">
        <x:f>IF(A42="","",IFERROR(VLOOKUP(C42,'Cấu hình'!$A$12:$D$19,2,FALSE),0))</x:f>
      </x:c>
      <x:c r="L42" s="92"/>
      <x:c r="M42" s="92"/>
      <x:c r="N42" s="95"/>
      <x:c r="O42" s="101"/>
      <x:c r="P42" s="101"/>
      <x:c r="Q42" s="101"/>
      <x:c r="R42" s="104" t="str">
        <x:f>IF(OR(P42="",D42=""),"",P42+IFERROR(VLOOKUP(D42,'Cấu hình'!$E$12:$G$15,3,FALSE),0))</x:f>
      </x:c>
      <x:c r="S42" s="101"/>
      <x:c r="T42" s="107"/>
      <x:c r="U42" s="113" t="str">
        <x:f>IF(A42="","",IF(S42&lt;&gt;"",0,IF(I42&lt;&gt;"",I42-TODAY(),IF(R42&lt;&gt;"",R42-TODAY(),""))))</x:f>
      </x:c>
      <x:c r="V42" s="113" t="str">
        <x:f>IF(A42="","",IF(S42&lt;&gt;"",MAX(0,S42-IF(I42&lt;&gt;"",I42,R42)),IF(OR(I42&lt;&gt;"",R42&lt;&gt;""),MAX(0,TODAY()-IF(I42&lt;&gt;"",I42,R42)),0)))</x:f>
      </x:c>
      <x:c r="W42" s="95"/>
      <x:c r="X42" s="95"/>
      <x:c r="Y42" s="92"/>
      <x:c r="Z42" s="92"/>
      <x:c r="AA42" s="92"/>
      <x:c r="AB42" s="92"/>
      <x:c r="AC42" s="113" t="str">
        <x:f>IF(A42="","",IF(P42="","",IF(S42&lt;&gt;"",S42-P42,TODAY()-P42)))</x:f>
      </x:c>
    </x:row>
    <x:row r="43" ht="28" customHeight="1">
      <x:c r="A43" s="92"/>
      <x:c r="B43" s="95"/>
      <x:c r="C43" s="92"/>
      <x:c r="D43" s="92"/>
      <x:c r="E43" s="92"/>
      <x:c r="F43" s="92"/>
      <x:c r="G43" s="92"/>
      <x:c r="H43" s="92"/>
      <x:c r="I43" s="101"/>
      <x:c r="J43" s="107"/>
      <x:c r="K43" s="110" t="str">
        <x:f>IF(A43="","",IFERROR(VLOOKUP(C43,'Cấu hình'!$A$12:$D$19,2,FALSE),0))</x:f>
      </x:c>
      <x:c r="L43" s="92"/>
      <x:c r="M43" s="92"/>
      <x:c r="N43" s="95"/>
      <x:c r="O43" s="101"/>
      <x:c r="P43" s="101"/>
      <x:c r="Q43" s="101"/>
      <x:c r="R43" s="104" t="str">
        <x:f>IF(OR(P43="",D43=""),"",P43+IFERROR(VLOOKUP(D43,'Cấu hình'!$E$12:$G$15,3,FALSE),0))</x:f>
      </x:c>
      <x:c r="S43" s="101"/>
      <x:c r="T43" s="107"/>
      <x:c r="U43" s="113" t="str">
        <x:f>IF(A43="","",IF(S43&lt;&gt;"",0,IF(I43&lt;&gt;"",I43-TODAY(),IF(R43&lt;&gt;"",R43-TODAY(),""))))</x:f>
      </x:c>
      <x:c r="V43" s="113" t="str">
        <x:f>IF(A43="","",IF(S43&lt;&gt;"",MAX(0,S43-IF(I43&lt;&gt;"",I43,R43)),IF(OR(I43&lt;&gt;"",R43&lt;&gt;""),MAX(0,TODAY()-IF(I43&lt;&gt;"",I43,R43)),0)))</x:f>
      </x:c>
      <x:c r="W43" s="95"/>
      <x:c r="X43" s="95"/>
      <x:c r="Y43" s="92"/>
      <x:c r="Z43" s="92"/>
      <x:c r="AA43" s="92"/>
      <x:c r="AB43" s="92"/>
      <x:c r="AC43" s="113" t="str">
        <x:f>IF(A43="","",IF(P43="","",IF(S43&lt;&gt;"",S43-P43,TODAY()-P43)))</x:f>
      </x:c>
    </x:row>
    <x:row r="44" ht="28" customHeight="1">
      <x:c r="A44" s="92"/>
      <x:c r="B44" s="95"/>
      <x:c r="C44" s="92"/>
      <x:c r="D44" s="92"/>
      <x:c r="E44" s="92"/>
      <x:c r="F44" s="92"/>
      <x:c r="G44" s="92"/>
      <x:c r="H44" s="92"/>
      <x:c r="I44" s="101"/>
      <x:c r="J44" s="107"/>
      <x:c r="K44" s="110" t="str">
        <x:f>IF(A44="","",IFERROR(VLOOKUP(C44,'Cấu hình'!$A$12:$D$19,2,FALSE),0))</x:f>
      </x:c>
      <x:c r="L44" s="92"/>
      <x:c r="M44" s="92"/>
      <x:c r="N44" s="95"/>
      <x:c r="O44" s="101"/>
      <x:c r="P44" s="101"/>
      <x:c r="Q44" s="101"/>
      <x:c r="R44" s="104" t="str">
        <x:f>IF(OR(P44="",D44=""),"",P44+IFERROR(VLOOKUP(D44,'Cấu hình'!$E$12:$G$15,3,FALSE),0))</x:f>
      </x:c>
      <x:c r="S44" s="101"/>
      <x:c r="T44" s="107"/>
      <x:c r="U44" s="113" t="str">
        <x:f>IF(A44="","",IF(S44&lt;&gt;"",0,IF(I44&lt;&gt;"",I44-TODAY(),IF(R44&lt;&gt;"",R44-TODAY(),""))))</x:f>
      </x:c>
      <x:c r="V44" s="113" t="str">
        <x:f>IF(A44="","",IF(S44&lt;&gt;"",MAX(0,S44-IF(I44&lt;&gt;"",I44,R44)),IF(OR(I44&lt;&gt;"",R44&lt;&gt;""),MAX(0,TODAY()-IF(I44&lt;&gt;"",I44,R44)),0)))</x:f>
      </x:c>
      <x:c r="W44" s="95"/>
      <x:c r="X44" s="95"/>
      <x:c r="Y44" s="92"/>
      <x:c r="Z44" s="92"/>
      <x:c r="AA44" s="92"/>
      <x:c r="AB44" s="92"/>
      <x:c r="AC44" s="113" t="str">
        <x:f>IF(A44="","",IF(P44="","",IF(S44&lt;&gt;"",S44-P44,TODAY()-P44)))</x:f>
      </x:c>
    </x:row>
    <x:row r="45" ht="28" customHeight="1">
      <x:c r="A45" s="92"/>
      <x:c r="B45" s="95"/>
      <x:c r="C45" s="92"/>
      <x:c r="D45" s="92"/>
      <x:c r="E45" s="92"/>
      <x:c r="F45" s="92"/>
      <x:c r="G45" s="92"/>
      <x:c r="H45" s="92"/>
      <x:c r="I45" s="101"/>
      <x:c r="J45" s="107"/>
      <x:c r="K45" s="110" t="str">
        <x:f>IF(A45="","",IFERROR(VLOOKUP(C45,'Cấu hình'!$A$12:$D$19,2,FALSE),0))</x:f>
      </x:c>
      <x:c r="L45" s="92"/>
      <x:c r="M45" s="92"/>
      <x:c r="N45" s="95"/>
      <x:c r="O45" s="101"/>
      <x:c r="P45" s="101"/>
      <x:c r="Q45" s="101"/>
      <x:c r="R45" s="104" t="str">
        <x:f>IF(OR(P45="",D45=""),"",P45+IFERROR(VLOOKUP(D45,'Cấu hình'!$E$12:$G$15,3,FALSE),0))</x:f>
      </x:c>
      <x:c r="S45" s="101"/>
      <x:c r="T45" s="107"/>
      <x:c r="U45" s="113" t="str">
        <x:f>IF(A45="","",IF(S45&lt;&gt;"",0,IF(I45&lt;&gt;"",I45-TODAY(),IF(R45&lt;&gt;"",R45-TODAY(),""))))</x:f>
      </x:c>
      <x:c r="V45" s="113" t="str">
        <x:f>IF(A45="","",IF(S45&lt;&gt;"",MAX(0,S45-IF(I45&lt;&gt;"",I45,R45)),IF(OR(I45&lt;&gt;"",R45&lt;&gt;""),MAX(0,TODAY()-IF(I45&lt;&gt;"",I45,R45)),0)))</x:f>
      </x:c>
      <x:c r="W45" s="95"/>
      <x:c r="X45" s="95"/>
      <x:c r="Y45" s="92"/>
      <x:c r="Z45" s="92"/>
      <x:c r="AA45" s="92"/>
      <x:c r="AB45" s="92"/>
      <x:c r="AC45" s="113" t="str">
        <x:f>IF(A45="","",IF(P45="","",IF(S45&lt;&gt;"",S45-P45,TODAY()-P45)))</x:f>
      </x:c>
    </x:row>
    <x:row r="46" ht="28" customHeight="1">
      <x:c r="A46" s="92"/>
      <x:c r="B46" s="95"/>
      <x:c r="C46" s="92"/>
      <x:c r="D46" s="92"/>
      <x:c r="E46" s="92"/>
      <x:c r="F46" s="92"/>
      <x:c r="G46" s="92"/>
      <x:c r="H46" s="92"/>
      <x:c r="I46" s="101"/>
      <x:c r="J46" s="107"/>
      <x:c r="K46" s="110" t="str">
        <x:f>IF(A46="","",IFERROR(VLOOKUP(C46,'Cấu hình'!$A$12:$D$19,2,FALSE),0))</x:f>
      </x:c>
      <x:c r="L46" s="92"/>
      <x:c r="M46" s="92"/>
      <x:c r="N46" s="95"/>
      <x:c r="O46" s="101"/>
      <x:c r="P46" s="101"/>
      <x:c r="Q46" s="101"/>
      <x:c r="R46" s="104" t="str">
        <x:f>IF(OR(P46="",D46=""),"",P46+IFERROR(VLOOKUP(D46,'Cấu hình'!$E$12:$G$15,3,FALSE),0))</x:f>
      </x:c>
      <x:c r="S46" s="101"/>
      <x:c r="T46" s="107"/>
      <x:c r="U46" s="113" t="str">
        <x:f>IF(A46="","",IF(S46&lt;&gt;"",0,IF(I46&lt;&gt;"",I46-TODAY(),IF(R46&lt;&gt;"",R46-TODAY(),""))))</x:f>
      </x:c>
      <x:c r="V46" s="113" t="str">
        <x:f>IF(A46="","",IF(S46&lt;&gt;"",MAX(0,S46-IF(I46&lt;&gt;"",I46,R46)),IF(OR(I46&lt;&gt;"",R46&lt;&gt;""),MAX(0,TODAY()-IF(I46&lt;&gt;"",I46,R46)),0)))</x:f>
      </x:c>
      <x:c r="W46" s="95"/>
      <x:c r="X46" s="95"/>
      <x:c r="Y46" s="92"/>
      <x:c r="Z46" s="92"/>
      <x:c r="AA46" s="92"/>
      <x:c r="AB46" s="92"/>
      <x:c r="AC46" s="113" t="str">
        <x:f>IF(A46="","",IF(P46="","",IF(S46&lt;&gt;"",S46-P46,TODAY()-P46)))</x:f>
      </x:c>
    </x:row>
    <x:row r="47" ht="28" customHeight="1">
      <x:c r="A47" s="92"/>
      <x:c r="B47" s="95"/>
      <x:c r="C47" s="92"/>
      <x:c r="D47" s="92"/>
      <x:c r="E47" s="92"/>
      <x:c r="F47" s="92"/>
      <x:c r="G47" s="92"/>
      <x:c r="H47" s="92"/>
      <x:c r="I47" s="101"/>
      <x:c r="J47" s="107"/>
      <x:c r="K47" s="110" t="str">
        <x:f>IF(A47="","",IFERROR(VLOOKUP(C47,'Cấu hình'!$A$12:$D$19,2,FALSE),0))</x:f>
      </x:c>
      <x:c r="L47" s="92"/>
      <x:c r="M47" s="92"/>
      <x:c r="N47" s="95"/>
      <x:c r="O47" s="101"/>
      <x:c r="P47" s="101"/>
      <x:c r="Q47" s="101"/>
      <x:c r="R47" s="104" t="str">
        <x:f>IF(OR(P47="",D47=""),"",P47+IFERROR(VLOOKUP(D47,'Cấu hình'!$E$12:$G$15,3,FALSE),0))</x:f>
      </x:c>
      <x:c r="S47" s="101"/>
      <x:c r="T47" s="107"/>
      <x:c r="U47" s="113" t="str">
        <x:f>IF(A47="","",IF(S47&lt;&gt;"",0,IF(I47&lt;&gt;"",I47-TODAY(),IF(R47&lt;&gt;"",R47-TODAY(),""))))</x:f>
      </x:c>
      <x:c r="V47" s="113" t="str">
        <x:f>IF(A47="","",IF(S47&lt;&gt;"",MAX(0,S47-IF(I47&lt;&gt;"",I47,R47)),IF(OR(I47&lt;&gt;"",R47&lt;&gt;""),MAX(0,TODAY()-IF(I47&lt;&gt;"",I47,R47)),0)))</x:f>
      </x:c>
      <x:c r="W47" s="95"/>
      <x:c r="X47" s="95"/>
      <x:c r="Y47" s="92"/>
      <x:c r="Z47" s="92"/>
      <x:c r="AA47" s="92"/>
      <x:c r="AB47" s="92"/>
      <x:c r="AC47" s="113" t="str">
        <x:f>IF(A47="","",IF(P47="","",IF(S47&lt;&gt;"",S47-P47,TODAY()-P47)))</x:f>
      </x:c>
    </x:row>
    <x:row r="48" ht="28" customHeight="1">
      <x:c r="A48" s="92"/>
      <x:c r="B48" s="95"/>
      <x:c r="C48" s="92"/>
      <x:c r="D48" s="92"/>
      <x:c r="E48" s="92"/>
      <x:c r="F48" s="92"/>
      <x:c r="G48" s="92"/>
      <x:c r="H48" s="92"/>
      <x:c r="I48" s="101"/>
      <x:c r="J48" s="107"/>
      <x:c r="K48" s="110" t="str">
        <x:f>IF(A48="","",IFERROR(VLOOKUP(C48,'Cấu hình'!$A$12:$D$19,2,FALSE),0))</x:f>
      </x:c>
      <x:c r="L48" s="92"/>
      <x:c r="M48" s="92"/>
      <x:c r="N48" s="95"/>
      <x:c r="O48" s="101"/>
      <x:c r="P48" s="101"/>
      <x:c r="Q48" s="101"/>
      <x:c r="R48" s="104" t="str">
        <x:f>IF(OR(P48="",D48=""),"",P48+IFERROR(VLOOKUP(D48,'Cấu hình'!$E$12:$G$15,3,FALSE),0))</x:f>
      </x:c>
      <x:c r="S48" s="101"/>
      <x:c r="T48" s="107"/>
      <x:c r="U48" s="113" t="str">
        <x:f>IF(A48="","",IF(S48&lt;&gt;"",0,IF(I48&lt;&gt;"",I48-TODAY(),IF(R48&lt;&gt;"",R48-TODAY(),""))))</x:f>
      </x:c>
      <x:c r="V48" s="113" t="str">
        <x:f>IF(A48="","",IF(S48&lt;&gt;"",MAX(0,S48-IF(I48&lt;&gt;"",I48,R48)),IF(OR(I48&lt;&gt;"",R48&lt;&gt;""),MAX(0,TODAY()-IF(I48&lt;&gt;"",I48,R48)),0)))</x:f>
      </x:c>
      <x:c r="W48" s="95"/>
      <x:c r="X48" s="95"/>
      <x:c r="Y48" s="92"/>
      <x:c r="Z48" s="92"/>
      <x:c r="AA48" s="92"/>
      <x:c r="AB48" s="92"/>
      <x:c r="AC48" s="113" t="str">
        <x:f>IF(A48="","",IF(P48="","",IF(S48&lt;&gt;"",S48-P48,TODAY()-P48)))</x:f>
      </x:c>
    </x:row>
    <x:row r="49" ht="28" customHeight="1">
      <x:c r="A49" s="92"/>
      <x:c r="B49" s="95"/>
      <x:c r="C49" s="92"/>
      <x:c r="D49" s="92"/>
      <x:c r="E49" s="92"/>
      <x:c r="F49" s="92"/>
      <x:c r="G49" s="92"/>
      <x:c r="H49" s="92"/>
      <x:c r="I49" s="101"/>
      <x:c r="J49" s="107"/>
      <x:c r="K49" s="110" t="str">
        <x:f>IF(A49="","",IFERROR(VLOOKUP(C49,'Cấu hình'!$A$12:$D$19,2,FALSE),0))</x:f>
      </x:c>
      <x:c r="L49" s="92"/>
      <x:c r="M49" s="92"/>
      <x:c r="N49" s="95"/>
      <x:c r="O49" s="101"/>
      <x:c r="P49" s="101"/>
      <x:c r="Q49" s="101"/>
      <x:c r="R49" s="104" t="str">
        <x:f>IF(OR(P49="",D49=""),"",P49+IFERROR(VLOOKUP(D49,'Cấu hình'!$E$12:$G$15,3,FALSE),0))</x:f>
      </x:c>
      <x:c r="S49" s="101"/>
      <x:c r="T49" s="107"/>
      <x:c r="U49" s="113" t="str">
        <x:f>IF(A49="","",IF(S49&lt;&gt;"",0,IF(I49&lt;&gt;"",I49-TODAY(),IF(R49&lt;&gt;"",R49-TODAY(),""))))</x:f>
      </x:c>
      <x:c r="V49" s="113" t="str">
        <x:f>IF(A49="","",IF(S49&lt;&gt;"",MAX(0,S49-IF(I49&lt;&gt;"",I49,R49)),IF(OR(I49&lt;&gt;"",R49&lt;&gt;""),MAX(0,TODAY()-IF(I49&lt;&gt;"",I49,R49)),0)))</x:f>
      </x:c>
      <x:c r="W49" s="95"/>
      <x:c r="X49" s="95"/>
      <x:c r="Y49" s="92"/>
      <x:c r="Z49" s="92"/>
      <x:c r="AA49" s="92"/>
      <x:c r="AB49" s="92"/>
      <x:c r="AC49" s="113" t="str">
        <x:f>IF(A49="","",IF(P49="","",IF(S49&lt;&gt;"",S49-P49,TODAY()-P49)))</x:f>
      </x:c>
    </x:row>
    <x:row r="50" ht="28" customHeight="1">
      <x:c r="A50" s="92"/>
      <x:c r="B50" s="95"/>
      <x:c r="C50" s="92"/>
      <x:c r="D50" s="92"/>
      <x:c r="E50" s="92"/>
      <x:c r="F50" s="92"/>
      <x:c r="G50" s="92"/>
      <x:c r="H50" s="92"/>
      <x:c r="I50" s="101"/>
      <x:c r="J50" s="107"/>
      <x:c r="K50" s="110" t="str">
        <x:f>IF(A50="","",IFERROR(VLOOKUP(C50,'Cấu hình'!$A$12:$D$19,2,FALSE),0))</x:f>
      </x:c>
      <x:c r="L50" s="92"/>
      <x:c r="M50" s="92"/>
      <x:c r="N50" s="95"/>
      <x:c r="O50" s="101"/>
      <x:c r="P50" s="101"/>
      <x:c r="Q50" s="101"/>
      <x:c r="R50" s="104" t="str">
        <x:f>IF(OR(P50="",D50=""),"",P50+IFERROR(VLOOKUP(D50,'Cấu hình'!$E$12:$G$15,3,FALSE),0))</x:f>
      </x:c>
      <x:c r="S50" s="101"/>
      <x:c r="T50" s="107"/>
      <x:c r="U50" s="113" t="str">
        <x:f>IF(A50="","",IF(S50&lt;&gt;"",0,IF(I50&lt;&gt;"",I50-TODAY(),IF(R50&lt;&gt;"",R50-TODAY(),""))))</x:f>
      </x:c>
      <x:c r="V50" s="113" t="str">
        <x:f>IF(A50="","",IF(S50&lt;&gt;"",MAX(0,S50-IF(I50&lt;&gt;"",I50,R50)),IF(OR(I50&lt;&gt;"",R50&lt;&gt;""),MAX(0,TODAY()-IF(I50&lt;&gt;"",I50,R50)),0)))</x:f>
      </x:c>
      <x:c r="W50" s="95"/>
      <x:c r="X50" s="95"/>
      <x:c r="Y50" s="92"/>
      <x:c r="Z50" s="92"/>
      <x:c r="AA50" s="92"/>
      <x:c r="AB50" s="92"/>
      <x:c r="AC50" s="113" t="str">
        <x:f>IF(A50="","",IF(P50="","",IF(S50&lt;&gt;"",S50-P50,TODAY()-P50)))</x:f>
      </x:c>
    </x:row>
    <x:row r="51" ht="28" customHeight="1">
      <x:c r="A51" s="92"/>
      <x:c r="B51" s="95"/>
      <x:c r="C51" s="92"/>
      <x:c r="D51" s="92"/>
      <x:c r="E51" s="92"/>
      <x:c r="F51" s="92"/>
      <x:c r="G51" s="92"/>
      <x:c r="H51" s="92"/>
      <x:c r="I51" s="101"/>
      <x:c r="J51" s="107"/>
      <x:c r="K51" s="110" t="str">
        <x:f>IF(A51="","",IFERROR(VLOOKUP(C51,'Cấu hình'!$A$12:$D$19,2,FALSE),0))</x:f>
      </x:c>
      <x:c r="L51" s="92"/>
      <x:c r="M51" s="92"/>
      <x:c r="N51" s="95"/>
      <x:c r="O51" s="101"/>
      <x:c r="P51" s="101"/>
      <x:c r="Q51" s="101"/>
      <x:c r="R51" s="104" t="str">
        <x:f>IF(OR(P51="",D51=""),"",P51+IFERROR(VLOOKUP(D51,'Cấu hình'!$E$12:$G$15,3,FALSE),0))</x:f>
      </x:c>
      <x:c r="S51" s="101"/>
      <x:c r="T51" s="107"/>
      <x:c r="U51" s="113" t="str">
        <x:f>IF(A51="","",IF(S51&lt;&gt;"",0,IF(I51&lt;&gt;"",I51-TODAY(),IF(R51&lt;&gt;"",R51-TODAY(),""))))</x:f>
      </x:c>
      <x:c r="V51" s="113" t="str">
        <x:f>IF(A51="","",IF(S51&lt;&gt;"",MAX(0,S51-IF(I51&lt;&gt;"",I51,R51)),IF(OR(I51&lt;&gt;"",R51&lt;&gt;""),MAX(0,TODAY()-IF(I51&lt;&gt;"",I51,R51)),0)))</x:f>
      </x:c>
      <x:c r="W51" s="95"/>
      <x:c r="X51" s="95"/>
      <x:c r="Y51" s="92"/>
      <x:c r="Z51" s="92"/>
      <x:c r="AA51" s="92"/>
      <x:c r="AB51" s="92"/>
      <x:c r="AC51" s="113" t="str">
        <x:f>IF(A51="","",IF(P51="","",IF(S51&lt;&gt;"",S51-P51,TODAY()-P51)))</x:f>
      </x:c>
    </x:row>
    <x:row r="52" ht="28" customHeight="1">
      <x:c r="A52" s="92"/>
      <x:c r="B52" s="95"/>
      <x:c r="C52" s="92"/>
      <x:c r="D52" s="92"/>
      <x:c r="E52" s="92"/>
      <x:c r="F52" s="92"/>
      <x:c r="G52" s="92"/>
      <x:c r="H52" s="92"/>
      <x:c r="I52" s="101"/>
      <x:c r="J52" s="107"/>
      <x:c r="K52" s="110" t="str">
        <x:f>IF(A52="","",IFERROR(VLOOKUP(C52,'Cấu hình'!$A$12:$D$19,2,FALSE),0))</x:f>
      </x:c>
      <x:c r="L52" s="92"/>
      <x:c r="M52" s="92"/>
      <x:c r="N52" s="95"/>
      <x:c r="O52" s="101"/>
      <x:c r="P52" s="101"/>
      <x:c r="Q52" s="101"/>
      <x:c r="R52" s="104" t="str">
        <x:f>IF(OR(P52="",D52=""),"",P52+IFERROR(VLOOKUP(D52,'Cấu hình'!$E$12:$G$15,3,FALSE),0))</x:f>
      </x:c>
      <x:c r="S52" s="101"/>
      <x:c r="T52" s="107"/>
      <x:c r="U52" s="113" t="str">
        <x:f>IF(A52="","",IF(S52&lt;&gt;"",0,IF(I52&lt;&gt;"",I52-TODAY(),IF(R52&lt;&gt;"",R52-TODAY(),""))))</x:f>
      </x:c>
      <x:c r="V52" s="113" t="str">
        <x:f>IF(A52="","",IF(S52&lt;&gt;"",MAX(0,S52-IF(I52&lt;&gt;"",I52,R52)),IF(OR(I52&lt;&gt;"",R52&lt;&gt;""),MAX(0,TODAY()-IF(I52&lt;&gt;"",I52,R52)),0)))</x:f>
      </x:c>
      <x:c r="W52" s="95"/>
      <x:c r="X52" s="95"/>
      <x:c r="Y52" s="92"/>
      <x:c r="Z52" s="92"/>
      <x:c r="AA52" s="92"/>
      <x:c r="AB52" s="92"/>
      <x:c r="AC52" s="113" t="str">
        <x:f>IF(A52="","",IF(P52="","",IF(S52&lt;&gt;"",S52-P52,TODAY()-P52)))</x:f>
      </x:c>
    </x:row>
    <x:row r="53" ht="28" customHeight="1">
      <x:c r="A53" s="92"/>
      <x:c r="B53" s="95"/>
      <x:c r="C53" s="92"/>
      <x:c r="D53" s="92"/>
      <x:c r="E53" s="92"/>
      <x:c r="F53" s="92"/>
      <x:c r="G53" s="92"/>
      <x:c r="H53" s="92"/>
      <x:c r="I53" s="101"/>
      <x:c r="J53" s="107"/>
      <x:c r="K53" s="110" t="str">
        <x:f>IF(A53="","",IFERROR(VLOOKUP(C53,'Cấu hình'!$A$12:$D$19,2,FALSE),0))</x:f>
      </x:c>
      <x:c r="L53" s="92"/>
      <x:c r="M53" s="92"/>
      <x:c r="N53" s="95"/>
      <x:c r="O53" s="101"/>
      <x:c r="P53" s="101"/>
      <x:c r="Q53" s="101"/>
      <x:c r="R53" s="104" t="str">
        <x:f>IF(OR(P53="",D53=""),"",P53+IFERROR(VLOOKUP(D53,'Cấu hình'!$E$12:$G$15,3,FALSE),0))</x:f>
      </x:c>
      <x:c r="S53" s="101"/>
      <x:c r="T53" s="107"/>
      <x:c r="U53" s="113" t="str">
        <x:f>IF(A53="","",IF(S53&lt;&gt;"",0,IF(I53&lt;&gt;"",I53-TODAY(),IF(R53&lt;&gt;"",R53-TODAY(),""))))</x:f>
      </x:c>
      <x:c r="V53" s="113" t="str">
        <x:f>IF(A53="","",IF(S53&lt;&gt;"",MAX(0,S53-IF(I53&lt;&gt;"",I53,R53)),IF(OR(I53&lt;&gt;"",R53&lt;&gt;""),MAX(0,TODAY()-IF(I53&lt;&gt;"",I53,R53)),0)))</x:f>
      </x:c>
      <x:c r="W53" s="95"/>
      <x:c r="X53" s="95"/>
      <x:c r="Y53" s="92"/>
      <x:c r="Z53" s="92"/>
      <x:c r="AA53" s="92"/>
      <x:c r="AB53" s="92"/>
      <x:c r="AC53" s="113" t="str">
        <x:f>IF(A53="","",IF(P53="","",IF(S53&lt;&gt;"",S53-P53,TODAY()-P53)))</x:f>
      </x:c>
    </x:row>
    <x:row r="54" ht="28" customHeight="1">
      <x:c r="A54" s="92"/>
      <x:c r="B54" s="95"/>
      <x:c r="C54" s="92"/>
      <x:c r="D54" s="92"/>
      <x:c r="E54" s="92"/>
      <x:c r="F54" s="92"/>
      <x:c r="G54" s="92"/>
      <x:c r="H54" s="92"/>
      <x:c r="I54" s="101"/>
      <x:c r="J54" s="107"/>
      <x:c r="K54" s="110" t="str">
        <x:f>IF(A54="","",IFERROR(VLOOKUP(C54,'Cấu hình'!$A$12:$D$19,2,FALSE),0))</x:f>
      </x:c>
      <x:c r="L54" s="92"/>
      <x:c r="M54" s="92"/>
      <x:c r="N54" s="95"/>
      <x:c r="O54" s="101"/>
      <x:c r="P54" s="101"/>
      <x:c r="Q54" s="101"/>
      <x:c r="R54" s="104" t="str">
        <x:f>IF(OR(P54="",D54=""),"",P54+IFERROR(VLOOKUP(D54,'Cấu hình'!$E$12:$G$15,3,FALSE),0))</x:f>
      </x:c>
      <x:c r="S54" s="101"/>
      <x:c r="T54" s="107"/>
      <x:c r="U54" s="113" t="str">
        <x:f>IF(A54="","",IF(S54&lt;&gt;"",0,IF(I54&lt;&gt;"",I54-TODAY(),IF(R54&lt;&gt;"",R54-TODAY(),""))))</x:f>
      </x:c>
      <x:c r="V54" s="113" t="str">
        <x:f>IF(A54="","",IF(S54&lt;&gt;"",MAX(0,S54-IF(I54&lt;&gt;"",I54,R54)),IF(OR(I54&lt;&gt;"",R54&lt;&gt;""),MAX(0,TODAY()-IF(I54&lt;&gt;"",I54,R54)),0)))</x:f>
      </x:c>
      <x:c r="W54" s="95"/>
      <x:c r="X54" s="95"/>
      <x:c r="Y54" s="92"/>
      <x:c r="Z54" s="92"/>
      <x:c r="AA54" s="92"/>
      <x:c r="AB54" s="92"/>
      <x:c r="AC54" s="113" t="str">
        <x:f>IF(A54="","",IF(P54="","",IF(S54&lt;&gt;"",S54-P54,TODAY()-P54)))</x:f>
      </x:c>
    </x:row>
    <x:row r="55" ht="28" customHeight="1">
      <x:c r="A55" s="92"/>
      <x:c r="B55" s="95"/>
      <x:c r="C55" s="92"/>
      <x:c r="D55" s="92"/>
      <x:c r="E55" s="92"/>
      <x:c r="F55" s="92"/>
      <x:c r="G55" s="92"/>
      <x:c r="H55" s="92"/>
      <x:c r="I55" s="101"/>
      <x:c r="J55" s="107"/>
      <x:c r="K55" s="110" t="str">
        <x:f>IF(A55="","",IFERROR(VLOOKUP(C55,'Cấu hình'!$A$12:$D$19,2,FALSE),0))</x:f>
      </x:c>
      <x:c r="L55" s="92"/>
      <x:c r="M55" s="92"/>
      <x:c r="N55" s="95"/>
      <x:c r="O55" s="101"/>
      <x:c r="P55" s="101"/>
      <x:c r="Q55" s="101"/>
      <x:c r="R55" s="104" t="str">
        <x:f>IF(OR(P55="",D55=""),"",P55+IFERROR(VLOOKUP(D55,'Cấu hình'!$E$12:$G$15,3,FALSE),0))</x:f>
      </x:c>
      <x:c r="S55" s="101"/>
      <x:c r="T55" s="107"/>
      <x:c r="U55" s="113" t="str">
        <x:f>IF(A55="","",IF(S55&lt;&gt;"",0,IF(I55&lt;&gt;"",I55-TODAY(),IF(R55&lt;&gt;"",R55-TODAY(),""))))</x:f>
      </x:c>
      <x:c r="V55" s="113" t="str">
        <x:f>IF(A55="","",IF(S55&lt;&gt;"",MAX(0,S55-IF(I55&lt;&gt;"",I55,R55)),IF(OR(I55&lt;&gt;"",R55&lt;&gt;""),MAX(0,TODAY()-IF(I55&lt;&gt;"",I55,R55)),0)))</x:f>
      </x:c>
      <x:c r="W55" s="95"/>
      <x:c r="X55" s="95"/>
      <x:c r="Y55" s="92"/>
      <x:c r="Z55" s="92"/>
      <x:c r="AA55" s="92"/>
      <x:c r="AB55" s="92"/>
      <x:c r="AC55" s="113" t="str">
        <x:f>IF(A55="","",IF(P55="","",IF(S55&lt;&gt;"",S55-P55,TODAY()-P55)))</x:f>
      </x:c>
    </x:row>
    <x:row r="56" ht="28" customHeight="1">
      <x:c r="A56" s="92"/>
      <x:c r="B56" s="95"/>
      <x:c r="C56" s="92"/>
      <x:c r="D56" s="92"/>
      <x:c r="E56" s="92"/>
      <x:c r="F56" s="92"/>
      <x:c r="G56" s="92"/>
      <x:c r="H56" s="92"/>
      <x:c r="I56" s="101"/>
      <x:c r="J56" s="107"/>
      <x:c r="K56" s="110" t="str">
        <x:f>IF(A56="","",IFERROR(VLOOKUP(C56,'Cấu hình'!$A$12:$D$19,2,FALSE),0))</x:f>
      </x:c>
      <x:c r="L56" s="92"/>
      <x:c r="M56" s="92"/>
      <x:c r="N56" s="95"/>
      <x:c r="O56" s="101"/>
      <x:c r="P56" s="101"/>
      <x:c r="Q56" s="101"/>
      <x:c r="R56" s="104" t="str">
        <x:f>IF(OR(P56="",D56=""),"",P56+IFERROR(VLOOKUP(D56,'Cấu hình'!$E$12:$G$15,3,FALSE),0))</x:f>
      </x:c>
      <x:c r="S56" s="101"/>
      <x:c r="T56" s="107"/>
      <x:c r="U56" s="113" t="str">
        <x:f>IF(A56="","",IF(S56&lt;&gt;"",0,IF(I56&lt;&gt;"",I56-TODAY(),IF(R56&lt;&gt;"",R56-TODAY(),""))))</x:f>
      </x:c>
      <x:c r="V56" s="113" t="str">
        <x:f>IF(A56="","",IF(S56&lt;&gt;"",MAX(0,S56-IF(I56&lt;&gt;"",I56,R56)),IF(OR(I56&lt;&gt;"",R56&lt;&gt;""),MAX(0,TODAY()-IF(I56&lt;&gt;"",I56,R56)),0)))</x:f>
      </x:c>
      <x:c r="W56" s="95"/>
      <x:c r="X56" s="95"/>
      <x:c r="Y56" s="92"/>
      <x:c r="Z56" s="92"/>
      <x:c r="AA56" s="92"/>
      <x:c r="AB56" s="92"/>
      <x:c r="AC56" s="113" t="str">
        <x:f>IF(A56="","",IF(P56="","",IF(S56&lt;&gt;"",S56-P56,TODAY()-P56)))</x:f>
      </x:c>
    </x:row>
    <x:row r="57" ht="28" customHeight="1">
      <x:c r="A57" s="92"/>
      <x:c r="B57" s="95"/>
      <x:c r="C57" s="92"/>
      <x:c r="D57" s="92"/>
      <x:c r="E57" s="92"/>
      <x:c r="F57" s="92"/>
      <x:c r="G57" s="92"/>
      <x:c r="H57" s="92"/>
      <x:c r="I57" s="101"/>
      <x:c r="J57" s="107"/>
      <x:c r="K57" s="110" t="str">
        <x:f>IF(A57="","",IFERROR(VLOOKUP(C57,'Cấu hình'!$A$12:$D$19,2,FALSE),0))</x:f>
      </x:c>
      <x:c r="L57" s="92"/>
      <x:c r="M57" s="92"/>
      <x:c r="N57" s="95"/>
      <x:c r="O57" s="101"/>
      <x:c r="P57" s="101"/>
      <x:c r="Q57" s="101"/>
      <x:c r="R57" s="104" t="str">
        <x:f>IF(OR(P57="",D57=""),"",P57+IFERROR(VLOOKUP(D57,'Cấu hình'!$E$12:$G$15,3,FALSE),0))</x:f>
      </x:c>
      <x:c r="S57" s="101"/>
      <x:c r="T57" s="107"/>
      <x:c r="U57" s="113" t="str">
        <x:f>IF(A57="","",IF(S57&lt;&gt;"",0,IF(I57&lt;&gt;"",I57-TODAY(),IF(R57&lt;&gt;"",R57-TODAY(),""))))</x:f>
      </x:c>
      <x:c r="V57" s="113" t="str">
        <x:f>IF(A57="","",IF(S57&lt;&gt;"",MAX(0,S57-IF(I57&lt;&gt;"",I57,R57)),IF(OR(I57&lt;&gt;"",R57&lt;&gt;""),MAX(0,TODAY()-IF(I57&lt;&gt;"",I57,R57)),0)))</x:f>
      </x:c>
      <x:c r="W57" s="95"/>
      <x:c r="X57" s="95"/>
      <x:c r="Y57" s="92"/>
      <x:c r="Z57" s="92"/>
      <x:c r="AA57" s="92"/>
      <x:c r="AB57" s="92"/>
      <x:c r="AC57" s="113" t="str">
        <x:f>IF(A57="","",IF(P57="","",IF(S57&lt;&gt;"",S57-P57,TODAY()-P57)))</x:f>
      </x:c>
    </x:row>
    <x:row r="58" ht="28" customHeight="1">
      <x:c r="A58" s="92"/>
      <x:c r="B58" s="95"/>
      <x:c r="C58" s="92"/>
      <x:c r="D58" s="92"/>
      <x:c r="E58" s="92"/>
      <x:c r="F58" s="92"/>
      <x:c r="G58" s="92"/>
      <x:c r="H58" s="92"/>
      <x:c r="I58" s="101"/>
      <x:c r="J58" s="107"/>
      <x:c r="K58" s="110" t="str">
        <x:f>IF(A58="","",IFERROR(VLOOKUP(C58,'Cấu hình'!$A$12:$D$19,2,FALSE),0))</x:f>
      </x:c>
      <x:c r="L58" s="92"/>
      <x:c r="M58" s="92"/>
      <x:c r="N58" s="95"/>
      <x:c r="O58" s="101"/>
      <x:c r="P58" s="101"/>
      <x:c r="Q58" s="101"/>
      <x:c r="R58" s="104" t="str">
        <x:f>IF(OR(P58="",D58=""),"",P58+IFERROR(VLOOKUP(D58,'Cấu hình'!$E$12:$G$15,3,FALSE),0))</x:f>
      </x:c>
      <x:c r="S58" s="101"/>
      <x:c r="T58" s="107"/>
      <x:c r="U58" s="113" t="str">
        <x:f>IF(A58="","",IF(S58&lt;&gt;"",0,IF(I58&lt;&gt;"",I58-TODAY(),IF(R58&lt;&gt;"",R58-TODAY(),""))))</x:f>
      </x:c>
      <x:c r="V58" s="113" t="str">
        <x:f>IF(A58="","",IF(S58&lt;&gt;"",MAX(0,S58-IF(I58&lt;&gt;"",I58,R58)),IF(OR(I58&lt;&gt;"",R58&lt;&gt;""),MAX(0,TODAY()-IF(I58&lt;&gt;"",I58,R58)),0)))</x:f>
      </x:c>
      <x:c r="W58" s="95"/>
      <x:c r="X58" s="95"/>
      <x:c r="Y58" s="92"/>
      <x:c r="Z58" s="92"/>
      <x:c r="AA58" s="92"/>
      <x:c r="AB58" s="92"/>
      <x:c r="AC58" s="113" t="str">
        <x:f>IF(A58="","",IF(P58="","",IF(S58&lt;&gt;"",S58-P58,TODAY()-P58)))</x:f>
      </x:c>
    </x:row>
    <x:row r="59" ht="28" customHeight="1">
      <x:c r="A59" s="92"/>
      <x:c r="B59" s="95"/>
      <x:c r="C59" s="92"/>
      <x:c r="D59" s="92"/>
      <x:c r="E59" s="92"/>
      <x:c r="F59" s="92"/>
      <x:c r="G59" s="92"/>
      <x:c r="H59" s="92"/>
      <x:c r="I59" s="101"/>
      <x:c r="J59" s="107"/>
      <x:c r="K59" s="110" t="str">
        <x:f>IF(A59="","",IFERROR(VLOOKUP(C59,'Cấu hình'!$A$12:$D$19,2,FALSE),0))</x:f>
      </x:c>
      <x:c r="L59" s="92"/>
      <x:c r="M59" s="92"/>
      <x:c r="N59" s="95"/>
      <x:c r="O59" s="101"/>
      <x:c r="P59" s="101"/>
      <x:c r="Q59" s="101"/>
      <x:c r="R59" s="104" t="str">
        <x:f>IF(OR(P59="",D59=""),"",P59+IFERROR(VLOOKUP(D59,'Cấu hình'!$E$12:$G$15,3,FALSE),0))</x:f>
      </x:c>
      <x:c r="S59" s="101"/>
      <x:c r="T59" s="107"/>
      <x:c r="U59" s="113" t="str">
        <x:f>IF(A59="","",IF(S59&lt;&gt;"",0,IF(I59&lt;&gt;"",I59-TODAY(),IF(R59&lt;&gt;"",R59-TODAY(),""))))</x:f>
      </x:c>
      <x:c r="V59" s="113" t="str">
        <x:f>IF(A59="","",IF(S59&lt;&gt;"",MAX(0,S59-IF(I59&lt;&gt;"",I59,R59)),IF(OR(I59&lt;&gt;"",R59&lt;&gt;""),MAX(0,TODAY()-IF(I59&lt;&gt;"",I59,R59)),0)))</x:f>
      </x:c>
      <x:c r="W59" s="95"/>
      <x:c r="X59" s="95"/>
      <x:c r="Y59" s="92"/>
      <x:c r="Z59" s="92"/>
      <x:c r="AA59" s="92"/>
      <x:c r="AB59" s="92"/>
      <x:c r="AC59" s="113" t="str">
        <x:f>IF(A59="","",IF(P59="","",IF(S59&lt;&gt;"",S59-P59,TODAY()-P59)))</x:f>
      </x:c>
    </x:row>
    <x:row r="60" ht="28" customHeight="1">
      <x:c r="A60" s="92"/>
      <x:c r="B60" s="95"/>
      <x:c r="C60" s="92"/>
      <x:c r="D60" s="92"/>
      <x:c r="E60" s="92"/>
      <x:c r="F60" s="92"/>
      <x:c r="G60" s="92"/>
      <x:c r="H60" s="92"/>
      <x:c r="I60" s="101"/>
      <x:c r="J60" s="107"/>
      <x:c r="K60" s="110" t="str">
        <x:f>IF(A60="","",IFERROR(VLOOKUP(C60,'Cấu hình'!$A$12:$D$19,2,FALSE),0))</x:f>
      </x:c>
      <x:c r="L60" s="92"/>
      <x:c r="M60" s="92"/>
      <x:c r="N60" s="95"/>
      <x:c r="O60" s="101"/>
      <x:c r="P60" s="101"/>
      <x:c r="Q60" s="101"/>
      <x:c r="R60" s="104" t="str">
        <x:f>IF(OR(P60="",D60=""),"",P60+IFERROR(VLOOKUP(D60,'Cấu hình'!$E$12:$G$15,3,FALSE),0))</x:f>
      </x:c>
      <x:c r="S60" s="101"/>
      <x:c r="T60" s="107"/>
      <x:c r="U60" s="113" t="str">
        <x:f>IF(A60="","",IF(S60&lt;&gt;"",0,IF(I60&lt;&gt;"",I60-TODAY(),IF(R60&lt;&gt;"",R60-TODAY(),""))))</x:f>
      </x:c>
      <x:c r="V60" s="113" t="str">
        <x:f>IF(A60="","",IF(S60&lt;&gt;"",MAX(0,S60-IF(I60&lt;&gt;"",I60,R60)),IF(OR(I60&lt;&gt;"",R60&lt;&gt;""),MAX(0,TODAY()-IF(I60&lt;&gt;"",I60,R60)),0)))</x:f>
      </x:c>
      <x:c r="W60" s="95"/>
      <x:c r="X60" s="95"/>
      <x:c r="Y60" s="92"/>
      <x:c r="Z60" s="92"/>
      <x:c r="AA60" s="92"/>
      <x:c r="AB60" s="92"/>
      <x:c r="AC60" s="113" t="str">
        <x:f>IF(A60="","",IF(P60="","",IF(S60&lt;&gt;"",S60-P60,TODAY()-P60)))</x:f>
      </x:c>
    </x:row>
    <x:row r="61" ht="28" customHeight="1">
      <x:c r="A61" s="92"/>
      <x:c r="B61" s="95"/>
      <x:c r="C61" s="92"/>
      <x:c r="D61" s="92"/>
      <x:c r="E61" s="92"/>
      <x:c r="F61" s="92"/>
      <x:c r="G61" s="92"/>
      <x:c r="H61" s="92"/>
      <x:c r="I61" s="101"/>
      <x:c r="J61" s="107"/>
      <x:c r="K61" s="110" t="str">
        <x:f>IF(A61="","",IFERROR(VLOOKUP(C61,'Cấu hình'!$A$12:$D$19,2,FALSE),0))</x:f>
      </x:c>
      <x:c r="L61" s="92"/>
      <x:c r="M61" s="92"/>
      <x:c r="N61" s="95"/>
      <x:c r="O61" s="101"/>
      <x:c r="P61" s="101"/>
      <x:c r="Q61" s="101"/>
      <x:c r="R61" s="104" t="str">
        <x:f>IF(OR(P61="",D61=""),"",P61+IFERROR(VLOOKUP(D61,'Cấu hình'!$E$12:$G$15,3,FALSE),0))</x:f>
      </x:c>
      <x:c r="S61" s="101"/>
      <x:c r="T61" s="107"/>
      <x:c r="U61" s="113" t="str">
        <x:f>IF(A61="","",IF(S61&lt;&gt;"",0,IF(I61&lt;&gt;"",I61-TODAY(),IF(R61&lt;&gt;"",R61-TODAY(),""))))</x:f>
      </x:c>
      <x:c r="V61" s="113" t="str">
        <x:f>IF(A61="","",IF(S61&lt;&gt;"",MAX(0,S61-IF(I61&lt;&gt;"",I61,R61)),IF(OR(I61&lt;&gt;"",R61&lt;&gt;""),MAX(0,TODAY()-IF(I61&lt;&gt;"",I61,R61)),0)))</x:f>
      </x:c>
      <x:c r="W61" s="95"/>
      <x:c r="X61" s="95"/>
      <x:c r="Y61" s="92"/>
      <x:c r="Z61" s="92"/>
      <x:c r="AA61" s="92"/>
      <x:c r="AB61" s="92"/>
      <x:c r="AC61" s="113" t="str">
        <x:f>IF(A61="","",IF(P61="","",IF(S61&lt;&gt;"",S61-P61,TODAY()-P61)))</x:f>
      </x:c>
    </x:row>
    <x:row r="62" ht="28" customHeight="1">
      <x:c r="A62" s="92"/>
      <x:c r="B62" s="95"/>
      <x:c r="C62" s="92"/>
      <x:c r="D62" s="92"/>
      <x:c r="E62" s="92"/>
      <x:c r="F62" s="92"/>
      <x:c r="G62" s="92"/>
      <x:c r="H62" s="92"/>
      <x:c r="I62" s="101"/>
      <x:c r="J62" s="107"/>
      <x:c r="K62" s="110" t="str">
        <x:f>IF(A62="","",IFERROR(VLOOKUP(C62,'Cấu hình'!$A$12:$D$19,2,FALSE),0))</x:f>
      </x:c>
      <x:c r="L62" s="92"/>
      <x:c r="M62" s="92"/>
      <x:c r="N62" s="95"/>
      <x:c r="O62" s="101"/>
      <x:c r="P62" s="101"/>
      <x:c r="Q62" s="101"/>
      <x:c r="R62" s="104" t="str">
        <x:f>IF(OR(P62="",D62=""),"",P62+IFERROR(VLOOKUP(D62,'Cấu hình'!$E$12:$G$15,3,FALSE),0))</x:f>
      </x:c>
      <x:c r="S62" s="101"/>
      <x:c r="T62" s="107"/>
      <x:c r="U62" s="113" t="str">
        <x:f>IF(A62="","",IF(S62&lt;&gt;"",0,IF(I62&lt;&gt;"",I62-TODAY(),IF(R62&lt;&gt;"",R62-TODAY(),""))))</x:f>
      </x:c>
      <x:c r="V62" s="113" t="str">
        <x:f>IF(A62="","",IF(S62&lt;&gt;"",MAX(0,S62-IF(I62&lt;&gt;"",I62,R62)),IF(OR(I62&lt;&gt;"",R62&lt;&gt;""),MAX(0,TODAY()-IF(I62&lt;&gt;"",I62,R62)),0)))</x:f>
      </x:c>
      <x:c r="W62" s="95"/>
      <x:c r="X62" s="95"/>
      <x:c r="Y62" s="92"/>
      <x:c r="Z62" s="92"/>
      <x:c r="AA62" s="92"/>
      <x:c r="AB62" s="92"/>
      <x:c r="AC62" s="113" t="str">
        <x:f>IF(A62="","",IF(P62="","",IF(S62&lt;&gt;"",S62-P62,TODAY()-P62)))</x:f>
      </x:c>
    </x:row>
    <x:row r="63" ht="28" customHeight="1">
      <x:c r="A63" s="92"/>
      <x:c r="B63" s="95"/>
      <x:c r="C63" s="92"/>
      <x:c r="D63" s="92"/>
      <x:c r="E63" s="92"/>
      <x:c r="F63" s="92"/>
      <x:c r="G63" s="92"/>
      <x:c r="H63" s="92"/>
      <x:c r="I63" s="101"/>
      <x:c r="J63" s="107"/>
      <x:c r="K63" s="110" t="str">
        <x:f>IF(A63="","",IFERROR(VLOOKUP(C63,'Cấu hình'!$A$12:$D$19,2,FALSE),0))</x:f>
      </x:c>
      <x:c r="L63" s="92"/>
      <x:c r="M63" s="92"/>
      <x:c r="N63" s="95"/>
      <x:c r="O63" s="101"/>
      <x:c r="P63" s="101"/>
      <x:c r="Q63" s="101"/>
      <x:c r="R63" s="104" t="str">
        <x:f>IF(OR(P63="",D63=""),"",P63+IFERROR(VLOOKUP(D63,'Cấu hình'!$E$12:$G$15,3,FALSE),0))</x:f>
      </x:c>
      <x:c r="S63" s="101"/>
      <x:c r="T63" s="107"/>
      <x:c r="U63" s="113" t="str">
        <x:f>IF(A63="","",IF(S63&lt;&gt;"",0,IF(I63&lt;&gt;"",I63-TODAY(),IF(R63&lt;&gt;"",R63-TODAY(),""))))</x:f>
      </x:c>
      <x:c r="V63" s="113" t="str">
        <x:f>IF(A63="","",IF(S63&lt;&gt;"",MAX(0,S63-IF(I63&lt;&gt;"",I63,R63)),IF(OR(I63&lt;&gt;"",R63&lt;&gt;""),MAX(0,TODAY()-IF(I63&lt;&gt;"",I63,R63)),0)))</x:f>
      </x:c>
      <x:c r="W63" s="95"/>
      <x:c r="X63" s="95"/>
      <x:c r="Y63" s="92"/>
      <x:c r="Z63" s="92"/>
      <x:c r="AA63" s="92"/>
      <x:c r="AB63" s="92"/>
      <x:c r="AC63" s="113" t="str">
        <x:f>IF(A63="","",IF(P63="","",IF(S63&lt;&gt;"",S63-P63,TODAY()-P63)))</x:f>
      </x:c>
    </x:row>
    <x:row r="64" ht="28" customHeight="1">
      <x:c r="A64" s="92"/>
      <x:c r="B64" s="95"/>
      <x:c r="C64" s="92"/>
      <x:c r="D64" s="92"/>
      <x:c r="E64" s="92"/>
      <x:c r="F64" s="92"/>
      <x:c r="G64" s="92"/>
      <x:c r="H64" s="92"/>
      <x:c r="I64" s="101"/>
      <x:c r="J64" s="107"/>
      <x:c r="K64" s="110" t="str">
        <x:f>IF(A64="","",IFERROR(VLOOKUP(C64,'Cấu hình'!$A$12:$D$19,2,FALSE),0))</x:f>
      </x:c>
      <x:c r="L64" s="92"/>
      <x:c r="M64" s="92"/>
      <x:c r="N64" s="95"/>
      <x:c r="O64" s="101"/>
      <x:c r="P64" s="101"/>
      <x:c r="Q64" s="101"/>
      <x:c r="R64" s="104" t="str">
        <x:f>IF(OR(P64="",D64=""),"",P64+IFERROR(VLOOKUP(D64,'Cấu hình'!$E$12:$G$15,3,FALSE),0))</x:f>
      </x:c>
      <x:c r="S64" s="101"/>
      <x:c r="T64" s="107"/>
      <x:c r="U64" s="113" t="str">
        <x:f>IF(A64="","",IF(S64&lt;&gt;"",0,IF(I64&lt;&gt;"",I64-TODAY(),IF(R64&lt;&gt;"",R64-TODAY(),""))))</x:f>
      </x:c>
      <x:c r="V64" s="113" t="str">
        <x:f>IF(A64="","",IF(S64&lt;&gt;"",MAX(0,S64-IF(I64&lt;&gt;"",I64,R64)),IF(OR(I64&lt;&gt;"",R64&lt;&gt;""),MAX(0,TODAY()-IF(I64&lt;&gt;"",I64,R64)),0)))</x:f>
      </x:c>
      <x:c r="W64" s="95"/>
      <x:c r="X64" s="95"/>
      <x:c r="Y64" s="92"/>
      <x:c r="Z64" s="92"/>
      <x:c r="AA64" s="92"/>
      <x:c r="AB64" s="92"/>
      <x:c r="AC64" s="113" t="str">
        <x:f>IF(A64="","",IF(P64="","",IF(S64&lt;&gt;"",S64-P64,TODAY()-P64)))</x:f>
      </x:c>
    </x:row>
    <x:row r="65" ht="28" customHeight="1">
      <x:c r="A65" s="92"/>
      <x:c r="B65" s="95"/>
      <x:c r="C65" s="92"/>
      <x:c r="D65" s="92"/>
      <x:c r="E65" s="92"/>
      <x:c r="F65" s="92"/>
      <x:c r="G65" s="92"/>
      <x:c r="H65" s="92"/>
      <x:c r="I65" s="101"/>
      <x:c r="J65" s="107"/>
      <x:c r="K65" s="110" t="str">
        <x:f>IF(A65="","",IFERROR(VLOOKUP(C65,'Cấu hình'!$A$12:$D$19,2,FALSE),0))</x:f>
      </x:c>
      <x:c r="L65" s="92"/>
      <x:c r="M65" s="92"/>
      <x:c r="N65" s="95"/>
      <x:c r="O65" s="101"/>
      <x:c r="P65" s="101"/>
      <x:c r="Q65" s="101"/>
      <x:c r="R65" s="104" t="str">
        <x:f>IF(OR(P65="",D65=""),"",P65+IFERROR(VLOOKUP(D65,'Cấu hình'!$E$12:$G$15,3,FALSE),0))</x:f>
      </x:c>
      <x:c r="S65" s="101"/>
      <x:c r="T65" s="107"/>
      <x:c r="U65" s="113" t="str">
        <x:f>IF(A65="","",IF(S65&lt;&gt;"",0,IF(I65&lt;&gt;"",I65-TODAY(),IF(R65&lt;&gt;"",R65-TODAY(),""))))</x:f>
      </x:c>
      <x:c r="V65" s="113" t="str">
        <x:f>IF(A65="","",IF(S65&lt;&gt;"",MAX(0,S65-IF(I65&lt;&gt;"",I65,R65)),IF(OR(I65&lt;&gt;"",R65&lt;&gt;""),MAX(0,TODAY()-IF(I65&lt;&gt;"",I65,R65)),0)))</x:f>
      </x:c>
      <x:c r="W65" s="95"/>
      <x:c r="X65" s="95"/>
      <x:c r="Y65" s="92"/>
      <x:c r="Z65" s="92"/>
      <x:c r="AA65" s="92"/>
      <x:c r="AB65" s="92"/>
      <x:c r="AC65" s="113" t="str">
        <x:f>IF(A65="","",IF(P65="","",IF(S65&lt;&gt;"",S65-P65,TODAY()-P65)))</x:f>
      </x:c>
    </x:row>
    <x:row r="66" ht="28" customHeight="1">
      <x:c r="A66" s="92"/>
      <x:c r="B66" s="95"/>
      <x:c r="C66" s="92"/>
      <x:c r="D66" s="92"/>
      <x:c r="E66" s="92"/>
      <x:c r="F66" s="92"/>
      <x:c r="G66" s="92"/>
      <x:c r="H66" s="92"/>
      <x:c r="I66" s="101"/>
      <x:c r="J66" s="107"/>
      <x:c r="K66" s="110" t="str">
        <x:f>IF(A66="","",IFERROR(VLOOKUP(C66,'Cấu hình'!$A$12:$D$19,2,FALSE),0))</x:f>
      </x:c>
      <x:c r="L66" s="92"/>
      <x:c r="M66" s="92"/>
      <x:c r="N66" s="95"/>
      <x:c r="O66" s="101"/>
      <x:c r="P66" s="101"/>
      <x:c r="Q66" s="101"/>
      <x:c r="R66" s="104" t="str">
        <x:f>IF(OR(P66="",D66=""),"",P66+IFERROR(VLOOKUP(D66,'Cấu hình'!$E$12:$G$15,3,FALSE),0))</x:f>
      </x:c>
      <x:c r="S66" s="101"/>
      <x:c r="T66" s="107"/>
      <x:c r="U66" s="113" t="str">
        <x:f>IF(A66="","",IF(S66&lt;&gt;"",0,IF(I66&lt;&gt;"",I66-TODAY(),IF(R66&lt;&gt;"",R66-TODAY(),""))))</x:f>
      </x:c>
      <x:c r="V66" s="113" t="str">
        <x:f>IF(A66="","",IF(S66&lt;&gt;"",MAX(0,S66-IF(I66&lt;&gt;"",I66,R66)),IF(OR(I66&lt;&gt;"",R66&lt;&gt;""),MAX(0,TODAY()-IF(I66&lt;&gt;"",I66,R66)),0)))</x:f>
      </x:c>
      <x:c r="W66" s="95"/>
      <x:c r="X66" s="95"/>
      <x:c r="Y66" s="92"/>
      <x:c r="Z66" s="92"/>
      <x:c r="AA66" s="92"/>
      <x:c r="AB66" s="92"/>
      <x:c r="AC66" s="113" t="str">
        <x:f>IF(A66="","",IF(P66="","",IF(S66&lt;&gt;"",S66-P66,TODAY()-P66)))</x:f>
      </x:c>
    </x:row>
    <x:row r="67" ht="28" customHeight="1">
      <x:c r="A67" s="92"/>
      <x:c r="B67" s="95"/>
      <x:c r="C67" s="92"/>
      <x:c r="D67" s="92"/>
      <x:c r="E67" s="92"/>
      <x:c r="F67" s="92"/>
      <x:c r="G67" s="92"/>
      <x:c r="H67" s="92"/>
      <x:c r="I67" s="101"/>
      <x:c r="J67" s="107"/>
      <x:c r="K67" s="110" t="str">
        <x:f>IF(A67="","",IFERROR(VLOOKUP(C67,'Cấu hình'!$A$12:$D$19,2,FALSE),0))</x:f>
      </x:c>
      <x:c r="L67" s="92"/>
      <x:c r="M67" s="92"/>
      <x:c r="N67" s="95"/>
      <x:c r="O67" s="101"/>
      <x:c r="P67" s="101"/>
      <x:c r="Q67" s="101"/>
      <x:c r="R67" s="104" t="str">
        <x:f>IF(OR(P67="",D67=""),"",P67+IFERROR(VLOOKUP(D67,'Cấu hình'!$E$12:$G$15,3,FALSE),0))</x:f>
      </x:c>
      <x:c r="S67" s="101"/>
      <x:c r="T67" s="107"/>
      <x:c r="U67" s="113" t="str">
        <x:f>IF(A67="","",IF(S67&lt;&gt;"",0,IF(I67&lt;&gt;"",I67-TODAY(),IF(R67&lt;&gt;"",R67-TODAY(),""))))</x:f>
      </x:c>
      <x:c r="V67" s="113" t="str">
        <x:f>IF(A67="","",IF(S67&lt;&gt;"",MAX(0,S67-IF(I67&lt;&gt;"",I67,R67)),IF(OR(I67&lt;&gt;"",R67&lt;&gt;""),MAX(0,TODAY()-IF(I67&lt;&gt;"",I67,R67)),0)))</x:f>
      </x:c>
      <x:c r="W67" s="95"/>
      <x:c r="X67" s="95"/>
      <x:c r="Y67" s="92"/>
      <x:c r="Z67" s="92"/>
      <x:c r="AA67" s="92"/>
      <x:c r="AB67" s="92"/>
      <x:c r="AC67" s="113" t="str">
        <x:f>IF(A67="","",IF(P67="","",IF(S67&lt;&gt;"",S67-P67,TODAY()-P67)))</x:f>
      </x:c>
    </x:row>
    <x:row r="68" ht="28" customHeight="1">
      <x:c r="A68" s="92"/>
      <x:c r="B68" s="95"/>
      <x:c r="C68" s="92"/>
      <x:c r="D68" s="92"/>
      <x:c r="E68" s="92"/>
      <x:c r="F68" s="92"/>
      <x:c r="G68" s="92"/>
      <x:c r="H68" s="92"/>
      <x:c r="I68" s="101"/>
      <x:c r="J68" s="107"/>
      <x:c r="K68" s="110" t="str">
        <x:f>IF(A68="","",IFERROR(VLOOKUP(C68,'Cấu hình'!$A$12:$D$19,2,FALSE),0))</x:f>
      </x:c>
      <x:c r="L68" s="92"/>
      <x:c r="M68" s="92"/>
      <x:c r="N68" s="95"/>
      <x:c r="O68" s="101"/>
      <x:c r="P68" s="101"/>
      <x:c r="Q68" s="101"/>
      <x:c r="R68" s="104" t="str">
        <x:f>IF(OR(P68="",D68=""),"",P68+IFERROR(VLOOKUP(D68,'Cấu hình'!$E$12:$G$15,3,FALSE),0))</x:f>
      </x:c>
      <x:c r="S68" s="101"/>
      <x:c r="T68" s="107"/>
      <x:c r="U68" s="113" t="str">
        <x:f>IF(A68="","",IF(S68&lt;&gt;"",0,IF(I68&lt;&gt;"",I68-TODAY(),IF(R68&lt;&gt;"",R68-TODAY(),""))))</x:f>
      </x:c>
      <x:c r="V68" s="113" t="str">
        <x:f>IF(A68="","",IF(S68&lt;&gt;"",MAX(0,S68-IF(I68&lt;&gt;"",I68,R68)),IF(OR(I68&lt;&gt;"",R68&lt;&gt;""),MAX(0,TODAY()-IF(I68&lt;&gt;"",I68,R68)),0)))</x:f>
      </x:c>
      <x:c r="W68" s="95"/>
      <x:c r="X68" s="95"/>
      <x:c r="Y68" s="92"/>
      <x:c r="Z68" s="92"/>
      <x:c r="AA68" s="92"/>
      <x:c r="AB68" s="92"/>
      <x:c r="AC68" s="113" t="str">
        <x:f>IF(A68="","",IF(P68="","",IF(S68&lt;&gt;"",S68-P68,TODAY()-P68)))</x:f>
      </x:c>
    </x:row>
    <x:row r="69" ht="28" customHeight="1">
      <x:c r="A69" s="92"/>
      <x:c r="B69" s="95"/>
      <x:c r="C69" s="92"/>
      <x:c r="D69" s="92"/>
      <x:c r="E69" s="92"/>
      <x:c r="F69" s="92"/>
      <x:c r="G69" s="92"/>
      <x:c r="H69" s="92"/>
      <x:c r="I69" s="101"/>
      <x:c r="J69" s="107"/>
      <x:c r="K69" s="110" t="str">
        <x:f>IF(A69="","",IFERROR(VLOOKUP(C69,'Cấu hình'!$A$12:$D$19,2,FALSE),0))</x:f>
      </x:c>
      <x:c r="L69" s="92"/>
      <x:c r="M69" s="92"/>
      <x:c r="N69" s="95"/>
      <x:c r="O69" s="101"/>
      <x:c r="P69" s="101"/>
      <x:c r="Q69" s="101"/>
      <x:c r="R69" s="104" t="str">
        <x:f>IF(OR(P69="",D69=""),"",P69+IFERROR(VLOOKUP(D69,'Cấu hình'!$E$12:$G$15,3,FALSE),0))</x:f>
      </x:c>
      <x:c r="S69" s="101"/>
      <x:c r="T69" s="107"/>
      <x:c r="U69" s="113" t="str">
        <x:f>IF(A69="","",IF(S69&lt;&gt;"",0,IF(I69&lt;&gt;"",I69-TODAY(),IF(R69&lt;&gt;"",R69-TODAY(),""))))</x:f>
      </x:c>
      <x:c r="V69" s="113" t="str">
        <x:f>IF(A69="","",IF(S69&lt;&gt;"",MAX(0,S69-IF(I69&lt;&gt;"",I69,R69)),IF(OR(I69&lt;&gt;"",R69&lt;&gt;""),MAX(0,TODAY()-IF(I69&lt;&gt;"",I69,R69)),0)))</x:f>
      </x:c>
      <x:c r="W69" s="95"/>
      <x:c r="X69" s="95"/>
      <x:c r="Y69" s="92"/>
      <x:c r="Z69" s="92"/>
      <x:c r="AA69" s="92"/>
      <x:c r="AB69" s="92"/>
      <x:c r="AC69" s="113" t="str">
        <x:f>IF(A69="","",IF(P69="","",IF(S69&lt;&gt;"",S69-P69,TODAY()-P69)))</x:f>
      </x:c>
    </x:row>
    <x:row r="70" ht="28" customHeight="1">
      <x:c r="A70" s="92"/>
      <x:c r="B70" s="95"/>
      <x:c r="C70" s="92"/>
      <x:c r="D70" s="92"/>
      <x:c r="E70" s="92"/>
      <x:c r="F70" s="92"/>
      <x:c r="G70" s="92"/>
      <x:c r="H70" s="92"/>
      <x:c r="I70" s="101"/>
      <x:c r="J70" s="107"/>
      <x:c r="K70" s="110" t="str">
        <x:f>IF(A70="","",IFERROR(VLOOKUP(C70,'Cấu hình'!$A$12:$D$19,2,FALSE),0))</x:f>
      </x:c>
      <x:c r="L70" s="92"/>
      <x:c r="M70" s="92"/>
      <x:c r="N70" s="95"/>
      <x:c r="O70" s="101"/>
      <x:c r="P70" s="101"/>
      <x:c r="Q70" s="101"/>
      <x:c r="R70" s="104" t="str">
        <x:f>IF(OR(P70="",D70=""),"",P70+IFERROR(VLOOKUP(D70,'Cấu hình'!$E$12:$G$15,3,FALSE),0))</x:f>
      </x:c>
      <x:c r="S70" s="101"/>
      <x:c r="T70" s="107"/>
      <x:c r="U70" s="113" t="str">
        <x:f>IF(A70="","",IF(S70&lt;&gt;"",0,IF(I70&lt;&gt;"",I70-TODAY(),IF(R70&lt;&gt;"",R70-TODAY(),""))))</x:f>
      </x:c>
      <x:c r="V70" s="113" t="str">
        <x:f>IF(A70="","",IF(S70&lt;&gt;"",MAX(0,S70-IF(I70&lt;&gt;"",I70,R70)),IF(OR(I70&lt;&gt;"",R70&lt;&gt;""),MAX(0,TODAY()-IF(I70&lt;&gt;"",I70,R70)),0)))</x:f>
      </x:c>
      <x:c r="W70" s="95"/>
      <x:c r="X70" s="95"/>
      <x:c r="Y70" s="92"/>
      <x:c r="Z70" s="92"/>
      <x:c r="AA70" s="92"/>
      <x:c r="AB70" s="92"/>
      <x:c r="AC70" s="113" t="str">
        <x:f>IF(A70="","",IF(P70="","",IF(S70&lt;&gt;"",S70-P70,TODAY()-P70)))</x:f>
      </x:c>
    </x:row>
    <x:row r="71" ht="28" customHeight="1">
      <x:c r="A71" s="92"/>
      <x:c r="B71" s="95"/>
      <x:c r="C71" s="92"/>
      <x:c r="D71" s="92"/>
      <x:c r="E71" s="92"/>
      <x:c r="F71" s="92"/>
      <x:c r="G71" s="92"/>
      <x:c r="H71" s="92"/>
      <x:c r="I71" s="101"/>
      <x:c r="J71" s="107"/>
      <x:c r="K71" s="110" t="str">
        <x:f>IF(A71="","",IFERROR(VLOOKUP(C71,'Cấu hình'!$A$12:$D$19,2,FALSE),0))</x:f>
      </x:c>
      <x:c r="L71" s="92"/>
      <x:c r="M71" s="92"/>
      <x:c r="N71" s="95"/>
      <x:c r="O71" s="101"/>
      <x:c r="P71" s="101"/>
      <x:c r="Q71" s="101"/>
      <x:c r="R71" s="104" t="str">
        <x:f>IF(OR(P71="",D71=""),"",P71+IFERROR(VLOOKUP(D71,'Cấu hình'!$E$12:$G$15,3,FALSE),0))</x:f>
      </x:c>
      <x:c r="S71" s="101"/>
      <x:c r="T71" s="107"/>
      <x:c r="U71" s="113" t="str">
        <x:f>IF(A71="","",IF(S71&lt;&gt;"",0,IF(I71&lt;&gt;"",I71-TODAY(),IF(R71&lt;&gt;"",R71-TODAY(),""))))</x:f>
      </x:c>
      <x:c r="V71" s="113" t="str">
        <x:f>IF(A71="","",IF(S71&lt;&gt;"",MAX(0,S71-IF(I71&lt;&gt;"",I71,R71)),IF(OR(I71&lt;&gt;"",R71&lt;&gt;""),MAX(0,TODAY()-IF(I71&lt;&gt;"",I71,R71)),0)))</x:f>
      </x:c>
      <x:c r="W71" s="95"/>
      <x:c r="X71" s="95"/>
      <x:c r="Y71" s="92"/>
      <x:c r="Z71" s="92"/>
      <x:c r="AA71" s="92"/>
      <x:c r="AB71" s="92"/>
      <x:c r="AC71" s="113" t="str">
        <x:f>IF(A71="","",IF(P71="","",IF(S71&lt;&gt;"",S71-P71,TODAY()-P71)))</x:f>
      </x:c>
    </x:row>
    <x:row r="72" ht="28" customHeight="1">
      <x:c r="A72" s="92"/>
      <x:c r="B72" s="95"/>
      <x:c r="C72" s="92"/>
      <x:c r="D72" s="92"/>
      <x:c r="E72" s="92"/>
      <x:c r="F72" s="92"/>
      <x:c r="G72" s="92"/>
      <x:c r="H72" s="92"/>
      <x:c r="I72" s="101"/>
      <x:c r="J72" s="107"/>
      <x:c r="K72" s="110" t="str">
        <x:f>IF(A72="","",IFERROR(VLOOKUP(C72,'Cấu hình'!$A$12:$D$19,2,FALSE),0))</x:f>
      </x:c>
      <x:c r="L72" s="92"/>
      <x:c r="M72" s="92"/>
      <x:c r="N72" s="95"/>
      <x:c r="O72" s="101"/>
      <x:c r="P72" s="101"/>
      <x:c r="Q72" s="101"/>
      <x:c r="R72" s="104" t="str">
        <x:f>IF(OR(P72="",D72=""),"",P72+IFERROR(VLOOKUP(D72,'Cấu hình'!$E$12:$G$15,3,FALSE),0))</x:f>
      </x:c>
      <x:c r="S72" s="101"/>
      <x:c r="T72" s="107"/>
      <x:c r="U72" s="113" t="str">
        <x:f>IF(A72="","",IF(S72&lt;&gt;"",0,IF(I72&lt;&gt;"",I72-TODAY(),IF(R72&lt;&gt;"",R72-TODAY(),""))))</x:f>
      </x:c>
      <x:c r="V72" s="113" t="str">
        <x:f>IF(A72="","",IF(S72&lt;&gt;"",MAX(0,S72-IF(I72&lt;&gt;"",I72,R72)),IF(OR(I72&lt;&gt;"",R72&lt;&gt;""),MAX(0,TODAY()-IF(I72&lt;&gt;"",I72,R72)),0)))</x:f>
      </x:c>
      <x:c r="W72" s="95"/>
      <x:c r="X72" s="95"/>
      <x:c r="Y72" s="92"/>
      <x:c r="Z72" s="92"/>
      <x:c r="AA72" s="92"/>
      <x:c r="AB72" s="92"/>
      <x:c r="AC72" s="113" t="str">
        <x:f>IF(A72="","",IF(P72="","",IF(S72&lt;&gt;"",S72-P72,TODAY()-P72)))</x:f>
      </x:c>
    </x:row>
    <x:row r="73" ht="28" customHeight="1">
      <x:c r="A73" s="92"/>
      <x:c r="B73" s="95"/>
      <x:c r="C73" s="92"/>
      <x:c r="D73" s="92"/>
      <x:c r="E73" s="92"/>
      <x:c r="F73" s="92"/>
      <x:c r="G73" s="92"/>
      <x:c r="H73" s="92"/>
      <x:c r="I73" s="101"/>
      <x:c r="J73" s="107"/>
      <x:c r="K73" s="110" t="str">
        <x:f>IF(A73="","",IFERROR(VLOOKUP(C73,'Cấu hình'!$A$12:$D$19,2,FALSE),0))</x:f>
      </x:c>
      <x:c r="L73" s="92"/>
      <x:c r="M73" s="92"/>
      <x:c r="N73" s="95"/>
      <x:c r="O73" s="101"/>
      <x:c r="P73" s="101"/>
      <x:c r="Q73" s="101"/>
      <x:c r="R73" s="104" t="str">
        <x:f>IF(OR(P73="",D73=""),"",P73+IFERROR(VLOOKUP(D73,'Cấu hình'!$E$12:$G$15,3,FALSE),0))</x:f>
      </x:c>
      <x:c r="S73" s="101"/>
      <x:c r="T73" s="107"/>
      <x:c r="U73" s="113" t="str">
        <x:f>IF(A73="","",IF(S73&lt;&gt;"",0,IF(I73&lt;&gt;"",I73-TODAY(),IF(R73&lt;&gt;"",R73-TODAY(),""))))</x:f>
      </x:c>
      <x:c r="V73" s="113" t="str">
        <x:f>IF(A73="","",IF(S73&lt;&gt;"",MAX(0,S73-IF(I73&lt;&gt;"",I73,R73)),IF(OR(I73&lt;&gt;"",R73&lt;&gt;""),MAX(0,TODAY()-IF(I73&lt;&gt;"",I73,R73)),0)))</x:f>
      </x:c>
      <x:c r="W73" s="95"/>
      <x:c r="X73" s="95"/>
      <x:c r="Y73" s="92"/>
      <x:c r="Z73" s="92"/>
      <x:c r="AA73" s="92"/>
      <x:c r="AB73" s="92"/>
      <x:c r="AC73" s="113" t="str">
        <x:f>IF(A73="","",IF(P73="","",IF(S73&lt;&gt;"",S73-P73,TODAY()-P73)))</x:f>
      </x:c>
    </x:row>
    <x:row r="74" ht="28" customHeight="1">
      <x:c r="A74" s="92"/>
      <x:c r="B74" s="95"/>
      <x:c r="C74" s="92"/>
      <x:c r="D74" s="92"/>
      <x:c r="E74" s="92"/>
      <x:c r="F74" s="92"/>
      <x:c r="G74" s="92"/>
      <x:c r="H74" s="92"/>
      <x:c r="I74" s="101"/>
      <x:c r="J74" s="107"/>
      <x:c r="K74" s="110" t="str">
        <x:f>IF(A74="","",IFERROR(VLOOKUP(C74,'Cấu hình'!$A$12:$D$19,2,FALSE),0))</x:f>
      </x:c>
      <x:c r="L74" s="92"/>
      <x:c r="M74" s="92"/>
      <x:c r="N74" s="95"/>
      <x:c r="O74" s="101"/>
      <x:c r="P74" s="101"/>
      <x:c r="Q74" s="101"/>
      <x:c r="R74" s="104" t="str">
        <x:f>IF(OR(P74="",D74=""),"",P74+IFERROR(VLOOKUP(D74,'Cấu hình'!$E$12:$G$15,3,FALSE),0))</x:f>
      </x:c>
      <x:c r="S74" s="101"/>
      <x:c r="T74" s="107"/>
      <x:c r="U74" s="113" t="str">
        <x:f>IF(A74="","",IF(S74&lt;&gt;"",0,IF(I74&lt;&gt;"",I74-TODAY(),IF(R74&lt;&gt;"",R74-TODAY(),""))))</x:f>
      </x:c>
      <x:c r="V74" s="113" t="str">
        <x:f>IF(A74="","",IF(S74&lt;&gt;"",MAX(0,S74-IF(I74&lt;&gt;"",I74,R74)),IF(OR(I74&lt;&gt;"",R74&lt;&gt;""),MAX(0,TODAY()-IF(I74&lt;&gt;"",I74,R74)),0)))</x:f>
      </x:c>
      <x:c r="W74" s="95"/>
      <x:c r="X74" s="95"/>
      <x:c r="Y74" s="92"/>
      <x:c r="Z74" s="92"/>
      <x:c r="AA74" s="92"/>
      <x:c r="AB74" s="92"/>
      <x:c r="AC74" s="113" t="str">
        <x:f>IF(A74="","",IF(P74="","",IF(S74&lt;&gt;"",S74-P74,TODAY()-P74)))</x:f>
      </x:c>
    </x:row>
    <x:row r="75" ht="28" customHeight="1">
      <x:c r="A75" s="92"/>
      <x:c r="B75" s="95"/>
      <x:c r="C75" s="92"/>
      <x:c r="D75" s="92"/>
      <x:c r="E75" s="92"/>
      <x:c r="F75" s="92"/>
      <x:c r="G75" s="92"/>
      <x:c r="H75" s="92"/>
      <x:c r="I75" s="101"/>
      <x:c r="J75" s="107"/>
      <x:c r="K75" s="110" t="str">
        <x:f>IF(A75="","",IFERROR(VLOOKUP(C75,'Cấu hình'!$A$12:$D$19,2,FALSE),0))</x:f>
      </x:c>
      <x:c r="L75" s="92"/>
      <x:c r="M75" s="92"/>
      <x:c r="N75" s="95"/>
      <x:c r="O75" s="101"/>
      <x:c r="P75" s="101"/>
      <x:c r="Q75" s="101"/>
      <x:c r="R75" s="104" t="str">
        <x:f>IF(OR(P75="",D75=""),"",P75+IFERROR(VLOOKUP(D75,'Cấu hình'!$E$12:$G$15,3,FALSE),0))</x:f>
      </x:c>
      <x:c r="S75" s="101"/>
      <x:c r="T75" s="107"/>
      <x:c r="U75" s="113" t="str">
        <x:f>IF(A75="","",IF(S75&lt;&gt;"",0,IF(I75&lt;&gt;"",I75-TODAY(),IF(R75&lt;&gt;"",R75-TODAY(),""))))</x:f>
      </x:c>
      <x:c r="V75" s="113" t="str">
        <x:f>IF(A75="","",IF(S75&lt;&gt;"",MAX(0,S75-IF(I75&lt;&gt;"",I75,R75)),IF(OR(I75&lt;&gt;"",R75&lt;&gt;""),MAX(0,TODAY()-IF(I75&lt;&gt;"",I75,R75)),0)))</x:f>
      </x:c>
      <x:c r="W75" s="95"/>
      <x:c r="X75" s="95"/>
      <x:c r="Y75" s="92"/>
      <x:c r="Z75" s="92"/>
      <x:c r="AA75" s="92"/>
      <x:c r="AB75" s="92"/>
      <x:c r="AC75" s="113" t="str">
        <x:f>IF(A75="","",IF(P75="","",IF(S75&lt;&gt;"",S75-P75,TODAY()-P75)))</x:f>
      </x:c>
    </x:row>
    <x:row r="76" ht="28" customHeight="1">
      <x:c r="A76" s="92"/>
      <x:c r="B76" s="95"/>
      <x:c r="C76" s="92"/>
      <x:c r="D76" s="92"/>
      <x:c r="E76" s="92"/>
      <x:c r="F76" s="92"/>
      <x:c r="G76" s="92"/>
      <x:c r="H76" s="92"/>
      <x:c r="I76" s="101"/>
      <x:c r="J76" s="107"/>
      <x:c r="K76" s="110" t="str">
        <x:f>IF(A76="","",IFERROR(VLOOKUP(C76,'Cấu hình'!$A$12:$D$19,2,FALSE),0))</x:f>
      </x:c>
      <x:c r="L76" s="92"/>
      <x:c r="M76" s="92"/>
      <x:c r="N76" s="95"/>
      <x:c r="O76" s="101"/>
      <x:c r="P76" s="101"/>
      <x:c r="Q76" s="101"/>
      <x:c r="R76" s="104" t="str">
        <x:f>IF(OR(P76="",D76=""),"",P76+IFERROR(VLOOKUP(D76,'Cấu hình'!$E$12:$G$15,3,FALSE),0))</x:f>
      </x:c>
      <x:c r="S76" s="101"/>
      <x:c r="T76" s="107"/>
      <x:c r="U76" s="113" t="str">
        <x:f>IF(A76="","",IF(S76&lt;&gt;"",0,IF(I76&lt;&gt;"",I76-TODAY(),IF(R76&lt;&gt;"",R76-TODAY(),""))))</x:f>
      </x:c>
      <x:c r="V76" s="113" t="str">
        <x:f>IF(A76="","",IF(S76&lt;&gt;"",MAX(0,S76-IF(I76&lt;&gt;"",I76,R76)),IF(OR(I76&lt;&gt;"",R76&lt;&gt;""),MAX(0,TODAY()-IF(I76&lt;&gt;"",I76,R76)),0)))</x:f>
      </x:c>
      <x:c r="W76" s="95"/>
      <x:c r="X76" s="95"/>
      <x:c r="Y76" s="92"/>
      <x:c r="Z76" s="92"/>
      <x:c r="AA76" s="92"/>
      <x:c r="AB76" s="92"/>
      <x:c r="AC76" s="113" t="str">
        <x:f>IF(A76="","",IF(P76="","",IF(S76&lt;&gt;"",S76-P76,TODAY()-P76)))</x:f>
      </x:c>
    </x:row>
    <x:row r="77" ht="28" customHeight="1">
      <x:c r="A77" s="92"/>
      <x:c r="B77" s="95"/>
      <x:c r="C77" s="92"/>
      <x:c r="D77" s="92"/>
      <x:c r="E77" s="92"/>
      <x:c r="F77" s="92"/>
      <x:c r="G77" s="92"/>
      <x:c r="H77" s="92"/>
      <x:c r="I77" s="101"/>
      <x:c r="J77" s="107"/>
      <x:c r="K77" s="110" t="str">
        <x:f>IF(A77="","",IFERROR(VLOOKUP(C77,'Cấu hình'!$A$12:$D$19,2,FALSE),0))</x:f>
      </x:c>
      <x:c r="L77" s="92"/>
      <x:c r="M77" s="92"/>
      <x:c r="N77" s="95"/>
      <x:c r="O77" s="101"/>
      <x:c r="P77" s="101"/>
      <x:c r="Q77" s="101"/>
      <x:c r="R77" s="104" t="str">
        <x:f>IF(OR(P77="",D77=""),"",P77+IFERROR(VLOOKUP(D77,'Cấu hình'!$E$12:$G$15,3,FALSE),0))</x:f>
      </x:c>
      <x:c r="S77" s="101"/>
      <x:c r="T77" s="107"/>
      <x:c r="U77" s="113" t="str">
        <x:f>IF(A77="","",IF(S77&lt;&gt;"",0,IF(I77&lt;&gt;"",I77-TODAY(),IF(R77&lt;&gt;"",R77-TODAY(),""))))</x:f>
      </x:c>
      <x:c r="V77" s="113" t="str">
        <x:f>IF(A77="","",IF(S77&lt;&gt;"",MAX(0,S77-IF(I77&lt;&gt;"",I77,R77)),IF(OR(I77&lt;&gt;"",R77&lt;&gt;""),MAX(0,TODAY()-IF(I77&lt;&gt;"",I77,R77)),0)))</x:f>
      </x:c>
      <x:c r="W77" s="95"/>
      <x:c r="X77" s="95"/>
      <x:c r="Y77" s="92"/>
      <x:c r="Z77" s="92"/>
      <x:c r="AA77" s="92"/>
      <x:c r="AB77" s="92"/>
      <x:c r="AC77" s="113" t="str">
        <x:f>IF(A77="","",IF(P77="","",IF(S77&lt;&gt;"",S77-P77,TODAY()-P77)))</x:f>
      </x:c>
    </x:row>
    <x:row r="78" ht="28" customHeight="1">
      <x:c r="A78" s="92"/>
      <x:c r="B78" s="95"/>
      <x:c r="C78" s="92"/>
      <x:c r="D78" s="92"/>
      <x:c r="E78" s="92"/>
      <x:c r="F78" s="92"/>
      <x:c r="G78" s="92"/>
      <x:c r="H78" s="92"/>
      <x:c r="I78" s="101"/>
      <x:c r="J78" s="107"/>
      <x:c r="K78" s="110" t="str">
        <x:f>IF(A78="","",IFERROR(VLOOKUP(C78,'Cấu hình'!$A$12:$D$19,2,FALSE),0))</x:f>
      </x:c>
      <x:c r="L78" s="92"/>
      <x:c r="M78" s="92"/>
      <x:c r="N78" s="95"/>
      <x:c r="O78" s="101"/>
      <x:c r="P78" s="101"/>
      <x:c r="Q78" s="101"/>
      <x:c r="R78" s="104" t="str">
        <x:f>IF(OR(P78="",D78=""),"",P78+IFERROR(VLOOKUP(D78,'Cấu hình'!$E$12:$G$15,3,FALSE),0))</x:f>
      </x:c>
      <x:c r="S78" s="101"/>
      <x:c r="T78" s="107"/>
      <x:c r="U78" s="113" t="str">
        <x:f>IF(A78="","",IF(S78&lt;&gt;"",0,IF(I78&lt;&gt;"",I78-TODAY(),IF(R78&lt;&gt;"",R78-TODAY(),""))))</x:f>
      </x:c>
      <x:c r="V78" s="113" t="str">
        <x:f>IF(A78="","",IF(S78&lt;&gt;"",MAX(0,S78-IF(I78&lt;&gt;"",I78,R78)),IF(OR(I78&lt;&gt;"",R78&lt;&gt;""),MAX(0,TODAY()-IF(I78&lt;&gt;"",I78,R78)),0)))</x:f>
      </x:c>
      <x:c r="W78" s="95"/>
      <x:c r="X78" s="95"/>
      <x:c r="Y78" s="92"/>
      <x:c r="Z78" s="92"/>
      <x:c r="AA78" s="92"/>
      <x:c r="AB78" s="92"/>
      <x:c r="AC78" s="113" t="str">
        <x:f>IF(A78="","",IF(P78="","",IF(S78&lt;&gt;"",S78-P78,TODAY()-P78)))</x:f>
      </x:c>
    </x:row>
    <x:row r="79" ht="28" customHeight="1">
      <x:c r="A79" s="92"/>
      <x:c r="B79" s="95"/>
      <x:c r="C79" s="92"/>
      <x:c r="D79" s="92"/>
      <x:c r="E79" s="92"/>
      <x:c r="F79" s="92"/>
      <x:c r="G79" s="92"/>
      <x:c r="H79" s="92"/>
      <x:c r="I79" s="101"/>
      <x:c r="J79" s="107"/>
      <x:c r="K79" s="110" t="str">
        <x:f>IF(A79="","",IFERROR(VLOOKUP(C79,'Cấu hình'!$A$12:$D$19,2,FALSE),0))</x:f>
      </x:c>
      <x:c r="L79" s="92"/>
      <x:c r="M79" s="92"/>
      <x:c r="N79" s="95"/>
      <x:c r="O79" s="101"/>
      <x:c r="P79" s="101"/>
      <x:c r="Q79" s="101"/>
      <x:c r="R79" s="104" t="str">
        <x:f>IF(OR(P79="",D79=""),"",P79+IFERROR(VLOOKUP(D79,'Cấu hình'!$E$12:$G$15,3,FALSE),0))</x:f>
      </x:c>
      <x:c r="S79" s="101"/>
      <x:c r="T79" s="107"/>
      <x:c r="U79" s="113" t="str">
        <x:f>IF(A79="","",IF(S79&lt;&gt;"",0,IF(I79&lt;&gt;"",I79-TODAY(),IF(R79&lt;&gt;"",R79-TODAY(),""))))</x:f>
      </x:c>
      <x:c r="V79" s="113" t="str">
        <x:f>IF(A79="","",IF(S79&lt;&gt;"",MAX(0,S79-IF(I79&lt;&gt;"",I79,R79)),IF(OR(I79&lt;&gt;"",R79&lt;&gt;""),MAX(0,TODAY()-IF(I79&lt;&gt;"",I79,R79)),0)))</x:f>
      </x:c>
      <x:c r="W79" s="95"/>
      <x:c r="X79" s="95"/>
      <x:c r="Y79" s="92"/>
      <x:c r="Z79" s="92"/>
      <x:c r="AA79" s="92"/>
      <x:c r="AB79" s="92"/>
      <x:c r="AC79" s="113" t="str">
        <x:f>IF(A79="","",IF(P79="","",IF(S79&lt;&gt;"",S79-P79,TODAY()-P79)))</x:f>
      </x:c>
    </x:row>
    <x:row r="80" ht="28" customHeight="1">
      <x:c r="A80" s="92"/>
      <x:c r="B80" s="95"/>
      <x:c r="C80" s="92"/>
      <x:c r="D80" s="92"/>
      <x:c r="E80" s="92"/>
      <x:c r="F80" s="92"/>
      <x:c r="G80" s="92"/>
      <x:c r="H80" s="92"/>
      <x:c r="I80" s="101"/>
      <x:c r="J80" s="107"/>
      <x:c r="K80" s="110" t="str">
        <x:f>IF(A80="","",IFERROR(VLOOKUP(C80,'Cấu hình'!$A$12:$D$19,2,FALSE),0))</x:f>
      </x:c>
      <x:c r="L80" s="92"/>
      <x:c r="M80" s="92"/>
      <x:c r="N80" s="95"/>
      <x:c r="O80" s="101"/>
      <x:c r="P80" s="101"/>
      <x:c r="Q80" s="101"/>
      <x:c r="R80" s="104" t="str">
        <x:f>IF(OR(P80="",D80=""),"",P80+IFERROR(VLOOKUP(D80,'Cấu hình'!$E$12:$G$15,3,FALSE),0))</x:f>
      </x:c>
      <x:c r="S80" s="101"/>
      <x:c r="T80" s="107"/>
      <x:c r="U80" s="113" t="str">
        <x:f>IF(A80="","",IF(S80&lt;&gt;"",0,IF(I80&lt;&gt;"",I80-TODAY(),IF(R80&lt;&gt;"",R80-TODAY(),""))))</x:f>
      </x:c>
      <x:c r="V80" s="113" t="str">
        <x:f>IF(A80="","",IF(S80&lt;&gt;"",MAX(0,S80-IF(I80&lt;&gt;"",I80,R80)),IF(OR(I80&lt;&gt;"",R80&lt;&gt;""),MAX(0,TODAY()-IF(I80&lt;&gt;"",I80,R80)),0)))</x:f>
      </x:c>
      <x:c r="W80" s="95"/>
      <x:c r="X80" s="95"/>
      <x:c r="Y80" s="92"/>
      <x:c r="Z80" s="92"/>
      <x:c r="AA80" s="92"/>
      <x:c r="AB80" s="92"/>
      <x:c r="AC80" s="113" t="str">
        <x:f>IF(A80="","",IF(P80="","",IF(S80&lt;&gt;"",S80-P80,TODAY()-P80)))</x:f>
      </x:c>
    </x:row>
    <x:row r="81" ht="28" customHeight="1">
      <x:c r="A81" s="92"/>
      <x:c r="B81" s="95"/>
      <x:c r="C81" s="92"/>
      <x:c r="D81" s="92"/>
      <x:c r="E81" s="92"/>
      <x:c r="F81" s="92"/>
      <x:c r="G81" s="92"/>
      <x:c r="H81" s="92"/>
      <x:c r="I81" s="101"/>
      <x:c r="J81" s="107"/>
      <x:c r="K81" s="110" t="str">
        <x:f>IF(A81="","",IFERROR(VLOOKUP(C81,'Cấu hình'!$A$12:$D$19,2,FALSE),0))</x:f>
      </x:c>
      <x:c r="L81" s="92"/>
      <x:c r="M81" s="92"/>
      <x:c r="N81" s="95"/>
      <x:c r="O81" s="101"/>
      <x:c r="P81" s="101"/>
      <x:c r="Q81" s="101"/>
      <x:c r="R81" s="104" t="str">
        <x:f>IF(OR(P81="",D81=""),"",P81+IFERROR(VLOOKUP(D81,'Cấu hình'!$E$12:$G$15,3,FALSE),0))</x:f>
      </x:c>
      <x:c r="S81" s="101"/>
      <x:c r="T81" s="107"/>
      <x:c r="U81" s="113" t="str">
        <x:f>IF(A81="","",IF(S81&lt;&gt;"",0,IF(I81&lt;&gt;"",I81-TODAY(),IF(R81&lt;&gt;"",R81-TODAY(),""))))</x:f>
      </x:c>
      <x:c r="V81" s="113" t="str">
        <x:f>IF(A81="","",IF(S81&lt;&gt;"",MAX(0,S81-IF(I81&lt;&gt;"",I81,R81)),IF(OR(I81&lt;&gt;"",R81&lt;&gt;""),MAX(0,TODAY()-IF(I81&lt;&gt;"",I81,R81)),0)))</x:f>
      </x:c>
      <x:c r="W81" s="95"/>
      <x:c r="X81" s="95"/>
      <x:c r="Y81" s="92"/>
      <x:c r="Z81" s="92"/>
      <x:c r="AA81" s="92"/>
      <x:c r="AB81" s="92"/>
      <x:c r="AC81" s="113" t="str">
        <x:f>IF(A81="","",IF(P81="","",IF(S81&lt;&gt;"",S81-P81,TODAY()-P81)))</x:f>
      </x:c>
    </x:row>
    <x:row r="82" ht="28" customHeight="1">
      <x:c r="A82" s="92"/>
      <x:c r="B82" s="95"/>
      <x:c r="C82" s="92"/>
      <x:c r="D82" s="92"/>
      <x:c r="E82" s="92"/>
      <x:c r="F82" s="92"/>
      <x:c r="G82" s="92"/>
      <x:c r="H82" s="92"/>
      <x:c r="I82" s="101"/>
      <x:c r="J82" s="107"/>
      <x:c r="K82" s="110" t="str">
        <x:f>IF(A82="","",IFERROR(VLOOKUP(C82,'Cấu hình'!$A$12:$D$19,2,FALSE),0))</x:f>
      </x:c>
      <x:c r="L82" s="92"/>
      <x:c r="M82" s="92"/>
      <x:c r="N82" s="95"/>
      <x:c r="O82" s="101"/>
      <x:c r="P82" s="101"/>
      <x:c r="Q82" s="101"/>
      <x:c r="R82" s="104" t="str">
        <x:f>IF(OR(P82="",D82=""),"",P82+IFERROR(VLOOKUP(D82,'Cấu hình'!$E$12:$G$15,3,FALSE),0))</x:f>
      </x:c>
      <x:c r="S82" s="101"/>
      <x:c r="T82" s="107"/>
      <x:c r="U82" s="113" t="str">
        <x:f>IF(A82="","",IF(S82&lt;&gt;"",0,IF(I82&lt;&gt;"",I82-TODAY(),IF(R82&lt;&gt;"",R82-TODAY(),""))))</x:f>
      </x:c>
      <x:c r="V82" s="113" t="str">
        <x:f>IF(A82="","",IF(S82&lt;&gt;"",MAX(0,S82-IF(I82&lt;&gt;"",I82,R82)),IF(OR(I82&lt;&gt;"",R82&lt;&gt;""),MAX(0,TODAY()-IF(I82&lt;&gt;"",I82,R82)),0)))</x:f>
      </x:c>
      <x:c r="W82" s="95"/>
      <x:c r="X82" s="95"/>
      <x:c r="Y82" s="92"/>
      <x:c r="Z82" s="92"/>
      <x:c r="AA82" s="92"/>
      <x:c r="AB82" s="92"/>
      <x:c r="AC82" s="113" t="str">
        <x:f>IF(A82="","",IF(P82="","",IF(S82&lt;&gt;"",S82-P82,TODAY()-P82)))</x:f>
      </x:c>
    </x:row>
    <x:row r="83" ht="28" customHeight="1">
      <x:c r="A83" s="92"/>
      <x:c r="B83" s="95"/>
      <x:c r="C83" s="92"/>
      <x:c r="D83" s="92"/>
      <x:c r="E83" s="92"/>
      <x:c r="F83" s="92"/>
      <x:c r="G83" s="92"/>
      <x:c r="H83" s="92"/>
      <x:c r="I83" s="101"/>
      <x:c r="J83" s="107"/>
      <x:c r="K83" s="110" t="str">
        <x:f>IF(A83="","",IFERROR(VLOOKUP(C83,'Cấu hình'!$A$12:$D$19,2,FALSE),0))</x:f>
      </x:c>
      <x:c r="L83" s="92"/>
      <x:c r="M83" s="92"/>
      <x:c r="N83" s="95"/>
      <x:c r="O83" s="101"/>
      <x:c r="P83" s="101"/>
      <x:c r="Q83" s="101"/>
      <x:c r="R83" s="104" t="str">
        <x:f>IF(OR(P83="",D83=""),"",P83+IFERROR(VLOOKUP(D83,'Cấu hình'!$E$12:$G$15,3,FALSE),0))</x:f>
      </x:c>
      <x:c r="S83" s="101"/>
      <x:c r="T83" s="107"/>
      <x:c r="U83" s="113" t="str">
        <x:f>IF(A83="","",IF(S83&lt;&gt;"",0,IF(I83&lt;&gt;"",I83-TODAY(),IF(R83&lt;&gt;"",R83-TODAY(),""))))</x:f>
      </x:c>
      <x:c r="V83" s="113" t="str">
        <x:f>IF(A83="","",IF(S83&lt;&gt;"",MAX(0,S83-IF(I83&lt;&gt;"",I83,R83)),IF(OR(I83&lt;&gt;"",R83&lt;&gt;""),MAX(0,TODAY()-IF(I83&lt;&gt;"",I83,R83)),0)))</x:f>
      </x:c>
      <x:c r="W83" s="95"/>
      <x:c r="X83" s="95"/>
      <x:c r="Y83" s="92"/>
      <x:c r="Z83" s="92"/>
      <x:c r="AA83" s="92"/>
      <x:c r="AB83" s="92"/>
      <x:c r="AC83" s="113" t="str">
        <x:f>IF(A83="","",IF(P83="","",IF(S83&lt;&gt;"",S83-P83,TODAY()-P83)))</x:f>
      </x:c>
    </x:row>
    <x:row r="84" ht="28" customHeight="1">
      <x:c r="A84" s="92"/>
      <x:c r="B84" s="95"/>
      <x:c r="C84" s="92"/>
      <x:c r="D84" s="92"/>
      <x:c r="E84" s="92"/>
      <x:c r="F84" s="92"/>
      <x:c r="G84" s="92"/>
      <x:c r="H84" s="92"/>
      <x:c r="I84" s="101"/>
      <x:c r="J84" s="107"/>
      <x:c r="K84" s="110" t="str">
        <x:f>IF(A84="","",IFERROR(VLOOKUP(C84,'Cấu hình'!$A$12:$D$19,2,FALSE),0))</x:f>
      </x:c>
      <x:c r="L84" s="92"/>
      <x:c r="M84" s="92"/>
      <x:c r="N84" s="95"/>
      <x:c r="O84" s="101"/>
      <x:c r="P84" s="101"/>
      <x:c r="Q84" s="101"/>
      <x:c r="R84" s="104" t="str">
        <x:f>IF(OR(P84="",D84=""),"",P84+IFERROR(VLOOKUP(D84,'Cấu hình'!$E$12:$G$15,3,FALSE),0))</x:f>
      </x:c>
      <x:c r="S84" s="101"/>
      <x:c r="T84" s="107"/>
      <x:c r="U84" s="113" t="str">
        <x:f>IF(A84="","",IF(S84&lt;&gt;"",0,IF(I84&lt;&gt;"",I84-TODAY(),IF(R84&lt;&gt;"",R84-TODAY(),""))))</x:f>
      </x:c>
      <x:c r="V84" s="113" t="str">
        <x:f>IF(A84="","",IF(S84&lt;&gt;"",MAX(0,S84-IF(I84&lt;&gt;"",I84,R84)),IF(OR(I84&lt;&gt;"",R84&lt;&gt;""),MAX(0,TODAY()-IF(I84&lt;&gt;"",I84,R84)),0)))</x:f>
      </x:c>
      <x:c r="W84" s="95"/>
      <x:c r="X84" s="95"/>
      <x:c r="Y84" s="92"/>
      <x:c r="Z84" s="92"/>
      <x:c r="AA84" s="92"/>
      <x:c r="AB84" s="92"/>
      <x:c r="AC84" s="113" t="str">
        <x:f>IF(A84="","",IF(P84="","",IF(S84&lt;&gt;"",S84-P84,TODAY()-P84)))</x:f>
      </x:c>
    </x:row>
    <x:row r="85" ht="28" customHeight="1">
      <x:c r="A85" s="92"/>
      <x:c r="B85" s="95"/>
      <x:c r="C85" s="92"/>
      <x:c r="D85" s="92"/>
      <x:c r="E85" s="92"/>
      <x:c r="F85" s="92"/>
      <x:c r="G85" s="92"/>
      <x:c r="H85" s="92"/>
      <x:c r="I85" s="101"/>
      <x:c r="J85" s="107"/>
      <x:c r="K85" s="110" t="str">
        <x:f>IF(A85="","",IFERROR(VLOOKUP(C85,'Cấu hình'!$A$12:$D$19,2,FALSE),0))</x:f>
      </x:c>
      <x:c r="L85" s="92"/>
      <x:c r="M85" s="92"/>
      <x:c r="N85" s="95"/>
      <x:c r="O85" s="101"/>
      <x:c r="P85" s="101"/>
      <x:c r="Q85" s="101"/>
      <x:c r="R85" s="104" t="str">
        <x:f>IF(OR(P85="",D85=""),"",P85+IFERROR(VLOOKUP(D85,'Cấu hình'!$E$12:$G$15,3,FALSE),0))</x:f>
      </x:c>
      <x:c r="S85" s="101"/>
      <x:c r="T85" s="107"/>
      <x:c r="U85" s="113" t="str">
        <x:f>IF(A85="","",IF(S85&lt;&gt;"",0,IF(I85&lt;&gt;"",I85-TODAY(),IF(R85&lt;&gt;"",R85-TODAY(),""))))</x:f>
      </x:c>
      <x:c r="V85" s="113" t="str">
        <x:f>IF(A85="","",IF(S85&lt;&gt;"",MAX(0,S85-IF(I85&lt;&gt;"",I85,R85)),IF(OR(I85&lt;&gt;"",R85&lt;&gt;""),MAX(0,TODAY()-IF(I85&lt;&gt;"",I85,R85)),0)))</x:f>
      </x:c>
      <x:c r="W85" s="95"/>
      <x:c r="X85" s="95"/>
      <x:c r="Y85" s="92"/>
      <x:c r="Z85" s="92"/>
      <x:c r="AA85" s="92"/>
      <x:c r="AB85" s="92"/>
      <x:c r="AC85" s="113" t="str">
        <x:f>IF(A85="","",IF(P85="","",IF(S85&lt;&gt;"",S85-P85,TODAY()-P85)))</x:f>
      </x:c>
    </x:row>
    <x:row r="86" ht="28" customHeight="1">
      <x:c r="A86" s="92"/>
      <x:c r="B86" s="95"/>
      <x:c r="C86" s="92"/>
      <x:c r="D86" s="92"/>
      <x:c r="E86" s="92"/>
      <x:c r="F86" s="92"/>
      <x:c r="G86" s="92"/>
      <x:c r="H86" s="92"/>
      <x:c r="I86" s="101"/>
      <x:c r="J86" s="107"/>
      <x:c r="K86" s="110" t="str">
        <x:f>IF(A86="","",IFERROR(VLOOKUP(C86,'Cấu hình'!$A$12:$D$19,2,FALSE),0))</x:f>
      </x:c>
      <x:c r="L86" s="92"/>
      <x:c r="M86" s="92"/>
      <x:c r="N86" s="95"/>
      <x:c r="O86" s="101"/>
      <x:c r="P86" s="101"/>
      <x:c r="Q86" s="101"/>
      <x:c r="R86" s="104" t="str">
        <x:f>IF(OR(P86="",D86=""),"",P86+IFERROR(VLOOKUP(D86,'Cấu hình'!$E$12:$G$15,3,FALSE),0))</x:f>
      </x:c>
      <x:c r="S86" s="101"/>
      <x:c r="T86" s="107"/>
      <x:c r="U86" s="113" t="str">
        <x:f>IF(A86="","",IF(S86&lt;&gt;"",0,IF(I86&lt;&gt;"",I86-TODAY(),IF(R86&lt;&gt;"",R86-TODAY(),""))))</x:f>
      </x:c>
      <x:c r="V86" s="113" t="str">
        <x:f>IF(A86="","",IF(S86&lt;&gt;"",MAX(0,S86-IF(I86&lt;&gt;"",I86,R86)),IF(OR(I86&lt;&gt;"",R86&lt;&gt;""),MAX(0,TODAY()-IF(I86&lt;&gt;"",I86,R86)),0)))</x:f>
      </x:c>
      <x:c r="W86" s="95"/>
      <x:c r="X86" s="95"/>
      <x:c r="Y86" s="92"/>
      <x:c r="Z86" s="92"/>
      <x:c r="AA86" s="92"/>
      <x:c r="AB86" s="92"/>
      <x:c r="AC86" s="113" t="str">
        <x:f>IF(A86="","",IF(P86="","",IF(S86&lt;&gt;"",S86-P86,TODAY()-P86)))</x:f>
      </x:c>
    </x:row>
    <x:row r="87" ht="28" customHeight="1">
      <x:c r="A87" s="92"/>
      <x:c r="B87" s="95"/>
      <x:c r="C87" s="92"/>
      <x:c r="D87" s="92"/>
      <x:c r="E87" s="92"/>
      <x:c r="F87" s="92"/>
      <x:c r="G87" s="92"/>
      <x:c r="H87" s="92"/>
      <x:c r="I87" s="101"/>
      <x:c r="J87" s="107"/>
      <x:c r="K87" s="110" t="str">
        <x:f>IF(A87="","",IFERROR(VLOOKUP(C87,'Cấu hình'!$A$12:$D$19,2,FALSE),0))</x:f>
      </x:c>
      <x:c r="L87" s="92"/>
      <x:c r="M87" s="92"/>
      <x:c r="N87" s="95"/>
      <x:c r="O87" s="101"/>
      <x:c r="P87" s="101"/>
      <x:c r="Q87" s="101"/>
      <x:c r="R87" s="104" t="str">
        <x:f>IF(OR(P87="",D87=""),"",P87+IFERROR(VLOOKUP(D87,'Cấu hình'!$E$12:$G$15,3,FALSE),0))</x:f>
      </x:c>
      <x:c r="S87" s="101"/>
      <x:c r="T87" s="107"/>
      <x:c r="U87" s="113" t="str">
        <x:f>IF(A87="","",IF(S87&lt;&gt;"",0,IF(I87&lt;&gt;"",I87-TODAY(),IF(R87&lt;&gt;"",R87-TODAY(),""))))</x:f>
      </x:c>
      <x:c r="V87" s="113" t="str">
        <x:f>IF(A87="","",IF(S87&lt;&gt;"",MAX(0,S87-IF(I87&lt;&gt;"",I87,R87)),IF(OR(I87&lt;&gt;"",R87&lt;&gt;""),MAX(0,TODAY()-IF(I87&lt;&gt;"",I87,R87)),0)))</x:f>
      </x:c>
      <x:c r="W87" s="95"/>
      <x:c r="X87" s="95"/>
      <x:c r="Y87" s="92"/>
      <x:c r="Z87" s="92"/>
      <x:c r="AA87" s="92"/>
      <x:c r="AB87" s="92"/>
      <x:c r="AC87" s="113" t="str">
        <x:f>IF(A87="","",IF(P87="","",IF(S87&lt;&gt;"",S87-P87,TODAY()-P87)))</x:f>
      </x:c>
    </x:row>
    <x:row r="88" ht="28" customHeight="1">
      <x:c r="A88" s="92"/>
      <x:c r="B88" s="95"/>
      <x:c r="C88" s="92"/>
      <x:c r="D88" s="92"/>
      <x:c r="E88" s="92"/>
      <x:c r="F88" s="92"/>
      <x:c r="G88" s="92"/>
      <x:c r="H88" s="92"/>
      <x:c r="I88" s="101"/>
      <x:c r="J88" s="107"/>
      <x:c r="K88" s="110" t="str">
        <x:f>IF(A88="","",IFERROR(VLOOKUP(C88,'Cấu hình'!$A$12:$D$19,2,FALSE),0))</x:f>
      </x:c>
      <x:c r="L88" s="92"/>
      <x:c r="M88" s="92"/>
      <x:c r="N88" s="95"/>
      <x:c r="O88" s="101"/>
      <x:c r="P88" s="101"/>
      <x:c r="Q88" s="101"/>
      <x:c r="R88" s="104" t="str">
        <x:f>IF(OR(P88="",D88=""),"",P88+IFERROR(VLOOKUP(D88,'Cấu hình'!$E$12:$G$15,3,FALSE),0))</x:f>
      </x:c>
      <x:c r="S88" s="101"/>
      <x:c r="T88" s="107"/>
      <x:c r="U88" s="113" t="str">
        <x:f>IF(A88="","",IF(S88&lt;&gt;"",0,IF(I88&lt;&gt;"",I88-TODAY(),IF(R88&lt;&gt;"",R88-TODAY(),""))))</x:f>
      </x:c>
      <x:c r="V88" s="113" t="str">
        <x:f>IF(A88="","",IF(S88&lt;&gt;"",MAX(0,S88-IF(I88&lt;&gt;"",I88,R88)),IF(OR(I88&lt;&gt;"",R88&lt;&gt;""),MAX(0,TODAY()-IF(I88&lt;&gt;"",I88,R88)),0)))</x:f>
      </x:c>
      <x:c r="W88" s="95"/>
      <x:c r="X88" s="95"/>
      <x:c r="Y88" s="92"/>
      <x:c r="Z88" s="92"/>
      <x:c r="AA88" s="92"/>
      <x:c r="AB88" s="92"/>
      <x:c r="AC88" s="113" t="str">
        <x:f>IF(A88="","",IF(P88="","",IF(S88&lt;&gt;"",S88-P88,TODAY()-P88)))</x:f>
      </x:c>
    </x:row>
    <x:row r="89" ht="28" customHeight="1">
      <x:c r="A89" s="92"/>
      <x:c r="B89" s="95"/>
      <x:c r="C89" s="92"/>
      <x:c r="D89" s="92"/>
      <x:c r="E89" s="92"/>
      <x:c r="F89" s="92"/>
      <x:c r="G89" s="92"/>
      <x:c r="H89" s="92"/>
      <x:c r="I89" s="101"/>
      <x:c r="J89" s="107"/>
      <x:c r="K89" s="110" t="str">
        <x:f>IF(A89="","",IFERROR(VLOOKUP(C89,'Cấu hình'!$A$12:$D$19,2,FALSE),0))</x:f>
      </x:c>
      <x:c r="L89" s="92"/>
      <x:c r="M89" s="92"/>
      <x:c r="N89" s="95"/>
      <x:c r="O89" s="101"/>
      <x:c r="P89" s="101"/>
      <x:c r="Q89" s="101"/>
      <x:c r="R89" s="104" t="str">
        <x:f>IF(OR(P89="",D89=""),"",P89+IFERROR(VLOOKUP(D89,'Cấu hình'!$E$12:$G$15,3,FALSE),0))</x:f>
      </x:c>
      <x:c r="S89" s="101"/>
      <x:c r="T89" s="107"/>
      <x:c r="U89" s="113" t="str">
        <x:f>IF(A89="","",IF(S89&lt;&gt;"",0,IF(I89&lt;&gt;"",I89-TODAY(),IF(R89&lt;&gt;"",R89-TODAY(),""))))</x:f>
      </x:c>
      <x:c r="V89" s="113" t="str">
        <x:f>IF(A89="","",IF(S89&lt;&gt;"",MAX(0,S89-IF(I89&lt;&gt;"",I89,R89)),IF(OR(I89&lt;&gt;"",R89&lt;&gt;""),MAX(0,TODAY()-IF(I89&lt;&gt;"",I89,R89)),0)))</x:f>
      </x:c>
      <x:c r="W89" s="95"/>
      <x:c r="X89" s="95"/>
      <x:c r="Y89" s="92"/>
      <x:c r="Z89" s="92"/>
      <x:c r="AA89" s="92"/>
      <x:c r="AB89" s="92"/>
      <x:c r="AC89" s="113" t="str">
        <x:f>IF(A89="","",IF(P89="","",IF(S89&lt;&gt;"",S89-P89,TODAY()-P89)))</x:f>
      </x:c>
    </x:row>
    <x:row r="90" ht="28" customHeight="1">
      <x:c r="A90" s="92"/>
      <x:c r="B90" s="95"/>
      <x:c r="C90" s="92"/>
      <x:c r="D90" s="92"/>
      <x:c r="E90" s="92"/>
      <x:c r="F90" s="92"/>
      <x:c r="G90" s="92"/>
      <x:c r="H90" s="92"/>
      <x:c r="I90" s="101"/>
      <x:c r="J90" s="107"/>
      <x:c r="K90" s="110" t="str">
        <x:f>IF(A90="","",IFERROR(VLOOKUP(C90,'Cấu hình'!$A$12:$D$19,2,FALSE),0))</x:f>
      </x:c>
      <x:c r="L90" s="92"/>
      <x:c r="M90" s="92"/>
      <x:c r="N90" s="95"/>
      <x:c r="O90" s="101"/>
      <x:c r="P90" s="101"/>
      <x:c r="Q90" s="101"/>
      <x:c r="R90" s="104" t="str">
        <x:f>IF(OR(P90="",D90=""),"",P90+IFERROR(VLOOKUP(D90,'Cấu hình'!$E$12:$G$15,3,FALSE),0))</x:f>
      </x:c>
      <x:c r="S90" s="101"/>
      <x:c r="T90" s="107"/>
      <x:c r="U90" s="113" t="str">
        <x:f>IF(A90="","",IF(S90&lt;&gt;"",0,IF(I90&lt;&gt;"",I90-TODAY(),IF(R90&lt;&gt;"",R90-TODAY(),""))))</x:f>
      </x:c>
      <x:c r="V90" s="113" t="str">
        <x:f>IF(A90="","",IF(S90&lt;&gt;"",MAX(0,S90-IF(I90&lt;&gt;"",I90,R90)),IF(OR(I90&lt;&gt;"",R90&lt;&gt;""),MAX(0,TODAY()-IF(I90&lt;&gt;"",I90,R90)),0)))</x:f>
      </x:c>
      <x:c r="W90" s="95"/>
      <x:c r="X90" s="95"/>
      <x:c r="Y90" s="92"/>
      <x:c r="Z90" s="92"/>
      <x:c r="AA90" s="92"/>
      <x:c r="AB90" s="92"/>
      <x:c r="AC90" s="113" t="str">
        <x:f>IF(A90="","",IF(P90="","",IF(S90&lt;&gt;"",S90-P90,TODAY()-P90)))</x:f>
      </x:c>
    </x:row>
    <x:row r="91" ht="28" customHeight="1">
      <x:c r="A91" s="92"/>
      <x:c r="B91" s="95"/>
      <x:c r="C91" s="92"/>
      <x:c r="D91" s="92"/>
      <x:c r="E91" s="92"/>
      <x:c r="F91" s="92"/>
      <x:c r="G91" s="92"/>
      <x:c r="H91" s="92"/>
      <x:c r="I91" s="101"/>
      <x:c r="J91" s="107"/>
      <x:c r="K91" s="110" t="str">
        <x:f>IF(A91="","",IFERROR(VLOOKUP(C91,'Cấu hình'!$A$12:$D$19,2,FALSE),0))</x:f>
      </x:c>
      <x:c r="L91" s="92"/>
      <x:c r="M91" s="92"/>
      <x:c r="N91" s="95"/>
      <x:c r="O91" s="101"/>
      <x:c r="P91" s="101"/>
      <x:c r="Q91" s="101"/>
      <x:c r="R91" s="104" t="str">
        <x:f>IF(OR(P91="",D91=""),"",P91+IFERROR(VLOOKUP(D91,'Cấu hình'!$E$12:$G$15,3,FALSE),0))</x:f>
      </x:c>
      <x:c r="S91" s="101"/>
      <x:c r="T91" s="107"/>
      <x:c r="U91" s="113" t="str">
        <x:f>IF(A91="","",IF(S91&lt;&gt;"",0,IF(I91&lt;&gt;"",I91-TODAY(),IF(R91&lt;&gt;"",R91-TODAY(),""))))</x:f>
      </x:c>
      <x:c r="V91" s="113" t="str">
        <x:f>IF(A91="","",IF(S91&lt;&gt;"",MAX(0,S91-IF(I91&lt;&gt;"",I91,R91)),IF(OR(I91&lt;&gt;"",R91&lt;&gt;""),MAX(0,TODAY()-IF(I91&lt;&gt;"",I91,R91)),0)))</x:f>
      </x:c>
      <x:c r="W91" s="95"/>
      <x:c r="X91" s="95"/>
      <x:c r="Y91" s="92"/>
      <x:c r="Z91" s="92"/>
      <x:c r="AA91" s="92"/>
      <x:c r="AB91" s="92"/>
      <x:c r="AC91" s="113" t="str">
        <x:f>IF(A91="","",IF(P91="","",IF(S91&lt;&gt;"",S91-P91,TODAY()-P91)))</x:f>
      </x:c>
    </x:row>
    <x:row r="92" ht="28" customHeight="1">
      <x:c r="A92" s="92"/>
      <x:c r="B92" s="95"/>
      <x:c r="C92" s="92"/>
      <x:c r="D92" s="92"/>
      <x:c r="E92" s="92"/>
      <x:c r="F92" s="92"/>
      <x:c r="G92" s="92"/>
      <x:c r="H92" s="92"/>
      <x:c r="I92" s="101"/>
      <x:c r="J92" s="107"/>
      <x:c r="K92" s="110" t="str">
        <x:f>IF(A92="","",IFERROR(VLOOKUP(C92,'Cấu hình'!$A$12:$D$19,2,FALSE),0))</x:f>
      </x:c>
      <x:c r="L92" s="92"/>
      <x:c r="M92" s="92"/>
      <x:c r="N92" s="95"/>
      <x:c r="O92" s="101"/>
      <x:c r="P92" s="101"/>
      <x:c r="Q92" s="101"/>
      <x:c r="R92" s="104" t="str">
        <x:f>IF(OR(P92="",D92=""),"",P92+IFERROR(VLOOKUP(D92,'Cấu hình'!$E$12:$G$15,3,FALSE),0))</x:f>
      </x:c>
      <x:c r="S92" s="101"/>
      <x:c r="T92" s="107"/>
      <x:c r="U92" s="113" t="str">
        <x:f>IF(A92="","",IF(S92&lt;&gt;"",0,IF(I92&lt;&gt;"",I92-TODAY(),IF(R92&lt;&gt;"",R92-TODAY(),""))))</x:f>
      </x:c>
      <x:c r="V92" s="113" t="str">
        <x:f>IF(A92="","",IF(S92&lt;&gt;"",MAX(0,S92-IF(I92&lt;&gt;"",I92,R92)),IF(OR(I92&lt;&gt;"",R92&lt;&gt;""),MAX(0,TODAY()-IF(I92&lt;&gt;"",I92,R92)),0)))</x:f>
      </x:c>
      <x:c r="W92" s="95"/>
      <x:c r="X92" s="95"/>
      <x:c r="Y92" s="92"/>
      <x:c r="Z92" s="92"/>
      <x:c r="AA92" s="92"/>
      <x:c r="AB92" s="92"/>
      <x:c r="AC92" s="113" t="str">
        <x:f>IF(A92="","",IF(P92="","",IF(S92&lt;&gt;"",S92-P92,TODAY()-P92)))</x:f>
      </x:c>
    </x:row>
    <x:row r="93" ht="28" customHeight="1">
      <x:c r="A93" s="92"/>
      <x:c r="B93" s="95"/>
      <x:c r="C93" s="92"/>
      <x:c r="D93" s="92"/>
      <x:c r="E93" s="92"/>
      <x:c r="F93" s="92"/>
      <x:c r="G93" s="92"/>
      <x:c r="H93" s="92"/>
      <x:c r="I93" s="101"/>
      <x:c r="J93" s="107"/>
      <x:c r="K93" s="110" t="str">
        <x:f>IF(A93="","",IFERROR(VLOOKUP(C93,'Cấu hình'!$A$12:$D$19,2,FALSE),0))</x:f>
      </x:c>
      <x:c r="L93" s="92"/>
      <x:c r="M93" s="92"/>
      <x:c r="N93" s="95"/>
      <x:c r="O93" s="101"/>
      <x:c r="P93" s="101"/>
      <x:c r="Q93" s="101"/>
      <x:c r="R93" s="104" t="str">
        <x:f>IF(OR(P93="",D93=""),"",P93+IFERROR(VLOOKUP(D93,'Cấu hình'!$E$12:$G$15,3,FALSE),0))</x:f>
      </x:c>
      <x:c r="S93" s="101"/>
      <x:c r="T93" s="107"/>
      <x:c r="U93" s="113" t="str">
        <x:f>IF(A93="","",IF(S93&lt;&gt;"",0,IF(I93&lt;&gt;"",I93-TODAY(),IF(R93&lt;&gt;"",R93-TODAY(),""))))</x:f>
      </x:c>
      <x:c r="V93" s="113" t="str">
        <x:f>IF(A93="","",IF(S93&lt;&gt;"",MAX(0,S93-IF(I93&lt;&gt;"",I93,R93)),IF(OR(I93&lt;&gt;"",R93&lt;&gt;""),MAX(0,TODAY()-IF(I93&lt;&gt;"",I93,R93)),0)))</x:f>
      </x:c>
      <x:c r="W93" s="95"/>
      <x:c r="X93" s="95"/>
      <x:c r="Y93" s="92"/>
      <x:c r="Z93" s="92"/>
      <x:c r="AA93" s="92"/>
      <x:c r="AB93" s="92"/>
      <x:c r="AC93" s="113" t="str">
        <x:f>IF(A93="","",IF(P93="","",IF(S93&lt;&gt;"",S93-P93,TODAY()-P93)))</x:f>
      </x:c>
    </x:row>
    <x:row r="94" ht="28" customHeight="1">
      <x:c r="A94" s="92"/>
      <x:c r="B94" s="95"/>
      <x:c r="C94" s="92"/>
      <x:c r="D94" s="92"/>
      <x:c r="E94" s="92"/>
      <x:c r="F94" s="92"/>
      <x:c r="G94" s="92"/>
      <x:c r="H94" s="92"/>
      <x:c r="I94" s="101"/>
      <x:c r="J94" s="107"/>
      <x:c r="K94" s="110" t="str">
        <x:f>IF(A94="","",IFERROR(VLOOKUP(C94,'Cấu hình'!$A$12:$D$19,2,FALSE),0))</x:f>
      </x:c>
      <x:c r="L94" s="92"/>
      <x:c r="M94" s="92"/>
      <x:c r="N94" s="95"/>
      <x:c r="O94" s="101"/>
      <x:c r="P94" s="101"/>
      <x:c r="Q94" s="101"/>
      <x:c r="R94" s="104" t="str">
        <x:f>IF(OR(P94="",D94=""),"",P94+IFERROR(VLOOKUP(D94,'Cấu hình'!$E$12:$G$15,3,FALSE),0))</x:f>
      </x:c>
      <x:c r="S94" s="101"/>
      <x:c r="T94" s="107"/>
      <x:c r="U94" s="113" t="str">
        <x:f>IF(A94="","",IF(S94&lt;&gt;"",0,IF(I94&lt;&gt;"",I94-TODAY(),IF(R94&lt;&gt;"",R94-TODAY(),""))))</x:f>
      </x:c>
      <x:c r="V94" s="113" t="str">
        <x:f>IF(A94="","",IF(S94&lt;&gt;"",MAX(0,S94-IF(I94&lt;&gt;"",I94,R94)),IF(OR(I94&lt;&gt;"",R94&lt;&gt;""),MAX(0,TODAY()-IF(I94&lt;&gt;"",I94,R94)),0)))</x:f>
      </x:c>
      <x:c r="W94" s="95"/>
      <x:c r="X94" s="95"/>
      <x:c r="Y94" s="92"/>
      <x:c r="Z94" s="92"/>
      <x:c r="AA94" s="92"/>
      <x:c r="AB94" s="92"/>
      <x:c r="AC94" s="113" t="str">
        <x:f>IF(A94="","",IF(P94="","",IF(S94&lt;&gt;"",S94-P94,TODAY()-P94)))</x:f>
      </x:c>
    </x:row>
    <x:row r="95" ht="28" customHeight="1">
      <x:c r="A95" s="92"/>
      <x:c r="B95" s="95"/>
      <x:c r="C95" s="92"/>
      <x:c r="D95" s="92"/>
      <x:c r="E95" s="92"/>
      <x:c r="F95" s="92"/>
      <x:c r="G95" s="92"/>
      <x:c r="H95" s="92"/>
      <x:c r="I95" s="101"/>
      <x:c r="J95" s="107"/>
      <x:c r="K95" s="110" t="str">
        <x:f>IF(A95="","",IFERROR(VLOOKUP(C95,'Cấu hình'!$A$12:$D$19,2,FALSE),0))</x:f>
      </x:c>
      <x:c r="L95" s="92"/>
      <x:c r="M95" s="92"/>
      <x:c r="N95" s="95"/>
      <x:c r="O95" s="101"/>
      <x:c r="P95" s="101"/>
      <x:c r="Q95" s="101"/>
      <x:c r="R95" s="104" t="str">
        <x:f>IF(OR(P95="",D95=""),"",P95+IFERROR(VLOOKUP(D95,'Cấu hình'!$E$12:$G$15,3,FALSE),0))</x:f>
      </x:c>
      <x:c r="S95" s="101"/>
      <x:c r="T95" s="107"/>
      <x:c r="U95" s="113" t="str">
        <x:f>IF(A95="","",IF(S95&lt;&gt;"",0,IF(I95&lt;&gt;"",I95-TODAY(),IF(R95&lt;&gt;"",R95-TODAY(),""))))</x:f>
      </x:c>
      <x:c r="V95" s="113" t="str">
        <x:f>IF(A95="","",IF(S95&lt;&gt;"",MAX(0,S95-IF(I95&lt;&gt;"",I95,R95)),IF(OR(I95&lt;&gt;"",R95&lt;&gt;""),MAX(0,TODAY()-IF(I95&lt;&gt;"",I95,R95)),0)))</x:f>
      </x:c>
      <x:c r="W95" s="95"/>
      <x:c r="X95" s="95"/>
      <x:c r="Y95" s="92"/>
      <x:c r="Z95" s="92"/>
      <x:c r="AA95" s="92"/>
      <x:c r="AB95" s="92"/>
      <x:c r="AC95" s="113" t="str">
        <x:f>IF(A95="","",IF(P95="","",IF(S95&lt;&gt;"",S95-P95,TODAY()-P95)))</x:f>
      </x:c>
    </x:row>
    <x:row r="96" ht="28" customHeight="1">
      <x:c r="A96" s="92"/>
      <x:c r="B96" s="95"/>
      <x:c r="C96" s="92"/>
      <x:c r="D96" s="92"/>
      <x:c r="E96" s="92"/>
      <x:c r="F96" s="92"/>
      <x:c r="G96" s="92"/>
      <x:c r="H96" s="92"/>
      <x:c r="I96" s="101"/>
      <x:c r="J96" s="107"/>
      <x:c r="K96" s="110" t="str">
        <x:f>IF(A96="","",IFERROR(VLOOKUP(C96,'Cấu hình'!$A$12:$D$19,2,FALSE),0))</x:f>
      </x:c>
      <x:c r="L96" s="92"/>
      <x:c r="M96" s="92"/>
      <x:c r="N96" s="95"/>
      <x:c r="O96" s="101"/>
      <x:c r="P96" s="101"/>
      <x:c r="Q96" s="101"/>
      <x:c r="R96" s="104" t="str">
        <x:f>IF(OR(P96="",D96=""),"",P96+IFERROR(VLOOKUP(D96,'Cấu hình'!$E$12:$G$15,3,FALSE),0))</x:f>
      </x:c>
      <x:c r="S96" s="101"/>
      <x:c r="T96" s="107"/>
      <x:c r="U96" s="113" t="str">
        <x:f>IF(A96="","",IF(S96&lt;&gt;"",0,IF(I96&lt;&gt;"",I96-TODAY(),IF(R96&lt;&gt;"",R96-TODAY(),""))))</x:f>
      </x:c>
      <x:c r="V96" s="113" t="str">
        <x:f>IF(A96="","",IF(S96&lt;&gt;"",MAX(0,S96-IF(I96&lt;&gt;"",I96,R96)),IF(OR(I96&lt;&gt;"",R96&lt;&gt;""),MAX(0,TODAY()-IF(I96&lt;&gt;"",I96,R96)),0)))</x:f>
      </x:c>
      <x:c r="W96" s="95"/>
      <x:c r="X96" s="95"/>
      <x:c r="Y96" s="92"/>
      <x:c r="Z96" s="92"/>
      <x:c r="AA96" s="92"/>
      <x:c r="AB96" s="92"/>
      <x:c r="AC96" s="113" t="str">
        <x:f>IF(A96="","",IF(P96="","",IF(S96&lt;&gt;"",S96-P96,TODAY()-P96)))</x:f>
      </x:c>
    </x:row>
    <x:row r="97" ht="28" customHeight="1">
      <x:c r="A97" s="92"/>
      <x:c r="B97" s="95"/>
      <x:c r="C97" s="92"/>
      <x:c r="D97" s="92"/>
      <x:c r="E97" s="92"/>
      <x:c r="F97" s="92"/>
      <x:c r="G97" s="92"/>
      <x:c r="H97" s="92"/>
      <x:c r="I97" s="101"/>
      <x:c r="J97" s="107"/>
      <x:c r="K97" s="110" t="str">
        <x:f>IF(A97="","",IFERROR(VLOOKUP(C97,'Cấu hình'!$A$12:$D$19,2,FALSE),0))</x:f>
      </x:c>
      <x:c r="L97" s="92"/>
      <x:c r="M97" s="92"/>
      <x:c r="N97" s="95"/>
      <x:c r="O97" s="101"/>
      <x:c r="P97" s="101"/>
      <x:c r="Q97" s="101"/>
      <x:c r="R97" s="104" t="str">
        <x:f>IF(OR(P97="",D97=""),"",P97+IFERROR(VLOOKUP(D97,'Cấu hình'!$E$12:$G$15,3,FALSE),0))</x:f>
      </x:c>
      <x:c r="S97" s="101"/>
      <x:c r="T97" s="107"/>
      <x:c r="U97" s="113" t="str">
        <x:f>IF(A97="","",IF(S97&lt;&gt;"",0,IF(I97&lt;&gt;"",I97-TODAY(),IF(R97&lt;&gt;"",R97-TODAY(),""))))</x:f>
      </x:c>
      <x:c r="V97" s="113" t="str">
        <x:f>IF(A97="","",IF(S97&lt;&gt;"",MAX(0,S97-IF(I97&lt;&gt;"",I97,R97)),IF(OR(I97&lt;&gt;"",R97&lt;&gt;""),MAX(0,TODAY()-IF(I97&lt;&gt;"",I97,R97)),0)))</x:f>
      </x:c>
      <x:c r="W97" s="95"/>
      <x:c r="X97" s="95"/>
      <x:c r="Y97" s="92"/>
      <x:c r="Z97" s="92"/>
      <x:c r="AA97" s="92"/>
      <x:c r="AB97" s="92"/>
      <x:c r="AC97" s="113" t="str">
        <x:f>IF(A97="","",IF(P97="","",IF(S97&lt;&gt;"",S97-P97,TODAY()-P97)))</x:f>
      </x:c>
    </x:row>
    <x:row r="98" ht="28" customHeight="1">
      <x:c r="A98" s="92"/>
      <x:c r="B98" s="95"/>
      <x:c r="C98" s="92"/>
      <x:c r="D98" s="92"/>
      <x:c r="E98" s="92"/>
      <x:c r="F98" s="92"/>
      <x:c r="G98" s="92"/>
      <x:c r="H98" s="92"/>
      <x:c r="I98" s="101"/>
      <x:c r="J98" s="107"/>
      <x:c r="K98" s="110" t="str">
        <x:f>IF(A98="","",IFERROR(VLOOKUP(C98,'Cấu hình'!$A$12:$D$19,2,FALSE),0))</x:f>
      </x:c>
      <x:c r="L98" s="92"/>
      <x:c r="M98" s="92"/>
      <x:c r="N98" s="95"/>
      <x:c r="O98" s="101"/>
      <x:c r="P98" s="101"/>
      <x:c r="Q98" s="101"/>
      <x:c r="R98" s="104" t="str">
        <x:f>IF(OR(P98="",D98=""),"",P98+IFERROR(VLOOKUP(D98,'Cấu hình'!$E$12:$G$15,3,FALSE),0))</x:f>
      </x:c>
      <x:c r="S98" s="101"/>
      <x:c r="T98" s="107"/>
      <x:c r="U98" s="113" t="str">
        <x:f>IF(A98="","",IF(S98&lt;&gt;"",0,IF(I98&lt;&gt;"",I98-TODAY(),IF(R98&lt;&gt;"",R98-TODAY(),""))))</x:f>
      </x:c>
      <x:c r="V98" s="113" t="str">
        <x:f>IF(A98="","",IF(S98&lt;&gt;"",MAX(0,S98-IF(I98&lt;&gt;"",I98,R98)),IF(OR(I98&lt;&gt;"",R98&lt;&gt;""),MAX(0,TODAY()-IF(I98&lt;&gt;"",I98,R98)),0)))</x:f>
      </x:c>
      <x:c r="W98" s="95"/>
      <x:c r="X98" s="95"/>
      <x:c r="Y98" s="92"/>
      <x:c r="Z98" s="92"/>
      <x:c r="AA98" s="92"/>
      <x:c r="AB98" s="92"/>
      <x:c r="AC98" s="113" t="str">
        <x:f>IF(A98="","",IF(P98="","",IF(S98&lt;&gt;"",S98-P98,TODAY()-P98)))</x:f>
      </x:c>
    </x:row>
    <x:row r="99" ht="28" customHeight="1">
      <x:c r="A99" s="92"/>
      <x:c r="B99" s="95"/>
      <x:c r="C99" s="92"/>
      <x:c r="D99" s="92"/>
      <x:c r="E99" s="92"/>
      <x:c r="F99" s="92"/>
      <x:c r="G99" s="92"/>
      <x:c r="H99" s="92"/>
      <x:c r="I99" s="101"/>
      <x:c r="J99" s="107"/>
      <x:c r="K99" s="110" t="str">
        <x:f>IF(A99="","",IFERROR(VLOOKUP(C99,'Cấu hình'!$A$12:$D$19,2,FALSE),0))</x:f>
      </x:c>
      <x:c r="L99" s="92"/>
      <x:c r="M99" s="92"/>
      <x:c r="N99" s="95"/>
      <x:c r="O99" s="101"/>
      <x:c r="P99" s="101"/>
      <x:c r="Q99" s="101"/>
      <x:c r="R99" s="104" t="str">
        <x:f>IF(OR(P99="",D99=""),"",P99+IFERROR(VLOOKUP(D99,'Cấu hình'!$E$12:$G$15,3,FALSE),0))</x:f>
      </x:c>
      <x:c r="S99" s="101"/>
      <x:c r="T99" s="107"/>
      <x:c r="U99" s="113" t="str">
        <x:f>IF(A99="","",IF(S99&lt;&gt;"",0,IF(I99&lt;&gt;"",I99-TODAY(),IF(R99&lt;&gt;"",R99-TODAY(),""))))</x:f>
      </x:c>
      <x:c r="V99" s="113" t="str">
        <x:f>IF(A99="","",IF(S99&lt;&gt;"",MAX(0,S99-IF(I99&lt;&gt;"",I99,R99)),IF(OR(I99&lt;&gt;"",R99&lt;&gt;""),MAX(0,TODAY()-IF(I99&lt;&gt;"",I99,R99)),0)))</x:f>
      </x:c>
      <x:c r="W99" s="95"/>
      <x:c r="X99" s="95"/>
      <x:c r="Y99" s="92"/>
      <x:c r="Z99" s="92"/>
      <x:c r="AA99" s="92"/>
      <x:c r="AB99" s="92"/>
      <x:c r="AC99" s="113" t="str">
        <x:f>IF(A99="","",IF(P99="","",IF(S99&lt;&gt;"",S99-P99,TODAY()-P99)))</x:f>
      </x:c>
    </x:row>
    <x:row r="100" ht="28" customHeight="1">
      <x:c r="A100" s="92"/>
      <x:c r="B100" s="95"/>
      <x:c r="C100" s="92"/>
      <x:c r="D100" s="92"/>
      <x:c r="E100" s="92"/>
      <x:c r="F100" s="92"/>
      <x:c r="G100" s="92"/>
      <x:c r="H100" s="92"/>
      <x:c r="I100" s="101"/>
      <x:c r="J100" s="107"/>
      <x:c r="K100" s="110" t="str">
        <x:f>IF(A100="","",IFERROR(VLOOKUP(C100,'Cấu hình'!$A$12:$D$19,2,FALSE),0))</x:f>
      </x:c>
      <x:c r="L100" s="92"/>
      <x:c r="M100" s="92"/>
      <x:c r="N100" s="95"/>
      <x:c r="O100" s="101"/>
      <x:c r="P100" s="101"/>
      <x:c r="Q100" s="101"/>
      <x:c r="R100" s="104" t="str">
        <x:f>IF(OR(P100="",D100=""),"",P100+IFERROR(VLOOKUP(D100,'Cấu hình'!$E$12:$G$15,3,FALSE),0))</x:f>
      </x:c>
      <x:c r="S100" s="101"/>
      <x:c r="T100" s="107"/>
      <x:c r="U100" s="113" t="str">
        <x:f>IF(A100="","",IF(S100&lt;&gt;"",0,IF(I100&lt;&gt;"",I100-TODAY(),IF(R100&lt;&gt;"",R100-TODAY(),""))))</x:f>
      </x:c>
      <x:c r="V100" s="113" t="str">
        <x:f>IF(A100="","",IF(S100&lt;&gt;"",MAX(0,S100-IF(I100&lt;&gt;"",I100,R100)),IF(OR(I100&lt;&gt;"",R100&lt;&gt;""),MAX(0,TODAY()-IF(I100&lt;&gt;"",I100,R100)),0)))</x:f>
      </x:c>
      <x:c r="W100" s="95"/>
      <x:c r="X100" s="95"/>
      <x:c r="Y100" s="92"/>
      <x:c r="Z100" s="92"/>
      <x:c r="AA100" s="92"/>
      <x:c r="AB100" s="92"/>
      <x:c r="AC100" s="113" t="str">
        <x:f>IF(A100="","",IF(P100="","",IF(S100&lt;&gt;"",S100-P100,TODAY()-P100)))</x:f>
      </x:c>
    </x:row>
    <x:row r="101" ht="28" customHeight="1">
      <x:c r="A101" s="92"/>
      <x:c r="B101" s="95"/>
      <x:c r="C101" s="92"/>
      <x:c r="D101" s="92"/>
      <x:c r="E101" s="92"/>
      <x:c r="F101" s="92"/>
      <x:c r="G101" s="92"/>
      <x:c r="H101" s="92"/>
      <x:c r="I101" s="101"/>
      <x:c r="J101" s="107"/>
      <x:c r="K101" s="110" t="str">
        <x:f>IF(A101="","",IFERROR(VLOOKUP(C101,'Cấu hình'!$A$12:$D$19,2,FALSE),0))</x:f>
      </x:c>
      <x:c r="L101" s="92"/>
      <x:c r="M101" s="92"/>
      <x:c r="N101" s="95"/>
      <x:c r="O101" s="101"/>
      <x:c r="P101" s="101"/>
      <x:c r="Q101" s="101"/>
      <x:c r="R101" s="104" t="str">
        <x:f>IF(OR(P101="",D101=""),"",P101+IFERROR(VLOOKUP(D101,'Cấu hình'!$E$12:$G$15,3,FALSE),0))</x:f>
      </x:c>
      <x:c r="S101" s="101"/>
      <x:c r="T101" s="107"/>
      <x:c r="U101" s="113" t="str">
        <x:f>IF(A101="","",IF(S101&lt;&gt;"",0,IF(I101&lt;&gt;"",I101-TODAY(),IF(R101&lt;&gt;"",R101-TODAY(),""))))</x:f>
      </x:c>
      <x:c r="V101" s="113" t="str">
        <x:f>IF(A101="","",IF(S101&lt;&gt;"",MAX(0,S101-IF(I101&lt;&gt;"",I101,R101)),IF(OR(I101&lt;&gt;"",R101&lt;&gt;""),MAX(0,TODAY()-IF(I101&lt;&gt;"",I101,R101)),0)))</x:f>
      </x:c>
      <x:c r="W101" s="95"/>
      <x:c r="X101" s="95"/>
      <x:c r="Y101" s="92"/>
      <x:c r="Z101" s="92"/>
      <x:c r="AA101" s="92"/>
      <x:c r="AB101" s="92"/>
      <x:c r="AC101" s="113" t="str">
        <x:f>IF(A101="","",IF(P101="","",IF(S101&lt;&gt;"",S101-P101,TODAY()-P101)))</x:f>
      </x:c>
    </x:row>
    <x:row r="102" ht="28" customHeight="1">
      <x:c r="A102" s="92"/>
      <x:c r="B102" s="95"/>
      <x:c r="C102" s="92"/>
      <x:c r="D102" s="92"/>
      <x:c r="E102" s="92"/>
      <x:c r="F102" s="92"/>
      <x:c r="G102" s="92"/>
      <x:c r="H102" s="92"/>
      <x:c r="I102" s="101"/>
      <x:c r="J102" s="107"/>
      <x:c r="K102" s="110" t="str">
        <x:f>IF(A102="","",IFERROR(VLOOKUP(C102,'Cấu hình'!$A$12:$D$19,2,FALSE),0))</x:f>
      </x:c>
      <x:c r="L102" s="92"/>
      <x:c r="M102" s="92"/>
      <x:c r="N102" s="95"/>
      <x:c r="O102" s="101"/>
      <x:c r="P102" s="101"/>
      <x:c r="Q102" s="101"/>
      <x:c r="R102" s="104" t="str">
        <x:f>IF(OR(P102="",D102=""),"",P102+IFERROR(VLOOKUP(D102,'Cấu hình'!$E$12:$G$15,3,FALSE),0))</x:f>
      </x:c>
      <x:c r="S102" s="101"/>
      <x:c r="T102" s="107"/>
      <x:c r="U102" s="113" t="str">
        <x:f>IF(A102="","",IF(S102&lt;&gt;"",0,IF(I102&lt;&gt;"",I102-TODAY(),IF(R102&lt;&gt;"",R102-TODAY(),""))))</x:f>
      </x:c>
      <x:c r="V102" s="113" t="str">
        <x:f>IF(A102="","",IF(S102&lt;&gt;"",MAX(0,S102-IF(I102&lt;&gt;"",I102,R102)),IF(OR(I102&lt;&gt;"",R102&lt;&gt;""),MAX(0,TODAY()-IF(I102&lt;&gt;"",I102,R102)),0)))</x:f>
      </x:c>
      <x:c r="W102" s="95"/>
      <x:c r="X102" s="95"/>
      <x:c r="Y102" s="92"/>
      <x:c r="Z102" s="92"/>
      <x:c r="AA102" s="92"/>
      <x:c r="AB102" s="92"/>
      <x:c r="AC102" s="113" t="str">
        <x:f>IF(A102="","",IF(P102="","",IF(S102&lt;&gt;"",S102-P102,TODAY()-P102)))</x:f>
      </x:c>
    </x:row>
    <x:row r="103" ht="28" customHeight="1">
      <x:c r="A103" s="92"/>
      <x:c r="B103" s="95"/>
      <x:c r="C103" s="92"/>
      <x:c r="D103" s="92"/>
      <x:c r="E103" s="92"/>
      <x:c r="F103" s="92"/>
      <x:c r="G103" s="92"/>
      <x:c r="H103" s="92"/>
      <x:c r="I103" s="101"/>
      <x:c r="J103" s="107"/>
      <x:c r="K103" s="110" t="str">
        <x:f>IF(A103="","",IFERROR(VLOOKUP(C103,'Cấu hình'!$A$12:$D$19,2,FALSE),0))</x:f>
      </x:c>
      <x:c r="L103" s="92"/>
      <x:c r="M103" s="92"/>
      <x:c r="N103" s="95"/>
      <x:c r="O103" s="101"/>
      <x:c r="P103" s="101"/>
      <x:c r="Q103" s="101"/>
      <x:c r="R103" s="104" t="str">
        <x:f>IF(OR(P103="",D103=""),"",P103+IFERROR(VLOOKUP(D103,'Cấu hình'!$E$12:$G$15,3,FALSE),0))</x:f>
      </x:c>
      <x:c r="S103" s="101"/>
      <x:c r="T103" s="107"/>
      <x:c r="U103" s="113" t="str">
        <x:f>IF(A103="","",IF(S103&lt;&gt;"",0,IF(I103&lt;&gt;"",I103-TODAY(),IF(R103&lt;&gt;"",R103-TODAY(),""))))</x:f>
      </x:c>
      <x:c r="V103" s="113" t="str">
        <x:f>IF(A103="","",IF(S103&lt;&gt;"",MAX(0,S103-IF(I103&lt;&gt;"",I103,R103)),IF(OR(I103&lt;&gt;"",R103&lt;&gt;""),MAX(0,TODAY()-IF(I103&lt;&gt;"",I103,R103)),0)))</x:f>
      </x:c>
      <x:c r="W103" s="95"/>
      <x:c r="X103" s="95"/>
      <x:c r="Y103" s="92"/>
      <x:c r="Z103" s="92"/>
      <x:c r="AA103" s="92"/>
      <x:c r="AB103" s="92"/>
      <x:c r="AC103" s="113" t="str">
        <x:f>IF(A103="","",IF(P103="","",IF(S103&lt;&gt;"",S103-P103,TODAY()-P103)))</x:f>
      </x:c>
    </x:row>
    <x:row r="104" ht="28" customHeight="1">
      <x:c r="A104" s="92"/>
      <x:c r="B104" s="95"/>
      <x:c r="C104" s="92"/>
      <x:c r="D104" s="92"/>
      <x:c r="E104" s="92"/>
      <x:c r="F104" s="92"/>
      <x:c r="G104" s="92"/>
      <x:c r="H104" s="92"/>
      <x:c r="I104" s="101"/>
      <x:c r="J104" s="107"/>
      <x:c r="K104" s="110" t="str">
        <x:f>IF(A104="","",IFERROR(VLOOKUP(C104,'Cấu hình'!$A$12:$D$19,2,FALSE),0))</x:f>
      </x:c>
      <x:c r="L104" s="92"/>
      <x:c r="M104" s="92"/>
      <x:c r="N104" s="95"/>
      <x:c r="O104" s="101"/>
      <x:c r="P104" s="101"/>
      <x:c r="Q104" s="101"/>
      <x:c r="R104" s="104" t="str">
        <x:f>IF(OR(P104="",D104=""),"",P104+IFERROR(VLOOKUP(D104,'Cấu hình'!$E$12:$G$15,3,FALSE),0))</x:f>
      </x:c>
      <x:c r="S104" s="101"/>
      <x:c r="T104" s="107"/>
      <x:c r="U104" s="113" t="str">
        <x:f>IF(A104="","",IF(S104&lt;&gt;"",0,IF(I104&lt;&gt;"",I104-TODAY(),IF(R104&lt;&gt;"",R104-TODAY(),""))))</x:f>
      </x:c>
      <x:c r="V104" s="113" t="str">
        <x:f>IF(A104="","",IF(S104&lt;&gt;"",MAX(0,S104-IF(I104&lt;&gt;"",I104,R104)),IF(OR(I104&lt;&gt;"",R104&lt;&gt;""),MAX(0,TODAY()-IF(I104&lt;&gt;"",I104,R104)),0)))</x:f>
      </x:c>
      <x:c r="W104" s="95"/>
      <x:c r="X104" s="95"/>
      <x:c r="Y104" s="92"/>
      <x:c r="Z104" s="92"/>
      <x:c r="AA104" s="92"/>
      <x:c r="AB104" s="92"/>
      <x:c r="AC104" s="113" t="str">
        <x:f>IF(A104="","",IF(P104="","",IF(S104&lt;&gt;"",S104-P104,TODAY()-P104)))</x:f>
      </x:c>
    </x:row>
    <x:row r="105" ht="28" customHeight="1">
      <x:c r="A105" s="92"/>
      <x:c r="B105" s="95"/>
      <x:c r="C105" s="92"/>
      <x:c r="D105" s="92"/>
      <x:c r="E105" s="92"/>
      <x:c r="F105" s="92"/>
      <x:c r="G105" s="92"/>
      <x:c r="H105" s="92"/>
      <x:c r="I105" s="101"/>
      <x:c r="J105" s="107"/>
      <x:c r="K105" s="110" t="str">
        <x:f>IF(A105="","",IFERROR(VLOOKUP(C105,'Cấu hình'!$A$12:$D$19,2,FALSE),0))</x:f>
      </x:c>
      <x:c r="L105" s="92"/>
      <x:c r="M105" s="92"/>
      <x:c r="N105" s="95"/>
      <x:c r="O105" s="101"/>
      <x:c r="P105" s="101"/>
      <x:c r="Q105" s="101"/>
      <x:c r="R105" s="104" t="str">
        <x:f>IF(OR(P105="",D105=""),"",P105+IFERROR(VLOOKUP(D105,'Cấu hình'!$E$12:$G$15,3,FALSE),0))</x:f>
      </x:c>
      <x:c r="S105" s="101"/>
      <x:c r="T105" s="107"/>
      <x:c r="U105" s="113" t="str">
        <x:f>IF(A105="","",IF(S105&lt;&gt;"",0,IF(I105&lt;&gt;"",I105-TODAY(),IF(R105&lt;&gt;"",R105-TODAY(),""))))</x:f>
      </x:c>
      <x:c r="V105" s="113" t="str">
        <x:f>IF(A105="","",IF(S105&lt;&gt;"",MAX(0,S105-IF(I105&lt;&gt;"",I105,R105)),IF(OR(I105&lt;&gt;"",R105&lt;&gt;""),MAX(0,TODAY()-IF(I105&lt;&gt;"",I105,R105)),0)))</x:f>
      </x:c>
      <x:c r="W105" s="95"/>
      <x:c r="X105" s="95"/>
      <x:c r="Y105" s="92"/>
      <x:c r="Z105" s="92"/>
      <x:c r="AA105" s="92"/>
      <x:c r="AB105" s="92"/>
      <x:c r="AC105" s="113" t="str">
        <x:f>IF(A105="","",IF(P105="","",IF(S105&lt;&gt;"",S105-P105,TODAY()-P105)))</x:f>
      </x:c>
    </x:row>
    <x:row r="106" ht="28" customHeight="1">
      <x:c r="A106" s="92"/>
      <x:c r="B106" s="95"/>
      <x:c r="C106" s="92"/>
      <x:c r="D106" s="92"/>
      <x:c r="E106" s="92"/>
      <x:c r="F106" s="92"/>
      <x:c r="G106" s="92"/>
      <x:c r="H106" s="92"/>
      <x:c r="I106" s="101"/>
      <x:c r="J106" s="107"/>
      <x:c r="K106" s="110" t="str">
        <x:f>IF(A106="","",IFERROR(VLOOKUP(C106,'Cấu hình'!$A$12:$D$19,2,FALSE),0))</x:f>
      </x:c>
      <x:c r="L106" s="92"/>
      <x:c r="M106" s="92"/>
      <x:c r="N106" s="95"/>
      <x:c r="O106" s="101"/>
      <x:c r="P106" s="101"/>
      <x:c r="Q106" s="101"/>
      <x:c r="R106" s="104" t="str">
        <x:f>IF(OR(P106="",D106=""),"",P106+IFERROR(VLOOKUP(D106,'Cấu hình'!$E$12:$G$15,3,FALSE),0))</x:f>
      </x:c>
      <x:c r="S106" s="101"/>
      <x:c r="T106" s="107"/>
      <x:c r="U106" s="113" t="str">
        <x:f>IF(A106="","",IF(S106&lt;&gt;"",0,IF(I106&lt;&gt;"",I106-TODAY(),IF(R106&lt;&gt;"",R106-TODAY(),""))))</x:f>
      </x:c>
      <x:c r="V106" s="113" t="str">
        <x:f>IF(A106="","",IF(S106&lt;&gt;"",MAX(0,S106-IF(I106&lt;&gt;"",I106,R106)),IF(OR(I106&lt;&gt;"",R106&lt;&gt;""),MAX(0,TODAY()-IF(I106&lt;&gt;"",I106,R106)),0)))</x:f>
      </x:c>
      <x:c r="W106" s="95"/>
      <x:c r="X106" s="95"/>
      <x:c r="Y106" s="92"/>
      <x:c r="Z106" s="92"/>
      <x:c r="AA106" s="92"/>
      <x:c r="AB106" s="92"/>
      <x:c r="AC106" s="113" t="str">
        <x:f>IF(A106="","",IF(P106="","",IF(S106&lt;&gt;"",S106-P106,TODAY()-P106)))</x:f>
      </x:c>
    </x:row>
    <x:row r="107" ht="28" customHeight="1">
      <x:c r="A107" s="92"/>
      <x:c r="B107" s="95"/>
      <x:c r="C107" s="92"/>
      <x:c r="D107" s="92"/>
      <x:c r="E107" s="92"/>
      <x:c r="F107" s="92"/>
      <x:c r="G107" s="92"/>
      <x:c r="H107" s="92"/>
      <x:c r="I107" s="101"/>
      <x:c r="J107" s="107"/>
      <x:c r="K107" s="110" t="str">
        <x:f>IF(A107="","",IFERROR(VLOOKUP(C107,'Cấu hình'!$A$12:$D$19,2,FALSE),0))</x:f>
      </x:c>
      <x:c r="L107" s="92"/>
      <x:c r="M107" s="92"/>
      <x:c r="N107" s="95"/>
      <x:c r="O107" s="101"/>
      <x:c r="P107" s="101"/>
      <x:c r="Q107" s="101"/>
      <x:c r="R107" s="104" t="str">
        <x:f>IF(OR(P107="",D107=""),"",P107+IFERROR(VLOOKUP(D107,'Cấu hình'!$E$12:$G$15,3,FALSE),0))</x:f>
      </x:c>
      <x:c r="S107" s="101"/>
      <x:c r="T107" s="107"/>
      <x:c r="U107" s="113" t="str">
        <x:f>IF(A107="","",IF(S107&lt;&gt;"",0,IF(I107&lt;&gt;"",I107-TODAY(),IF(R107&lt;&gt;"",R107-TODAY(),""))))</x:f>
      </x:c>
      <x:c r="V107" s="113" t="str">
        <x:f>IF(A107="","",IF(S107&lt;&gt;"",MAX(0,S107-IF(I107&lt;&gt;"",I107,R107)),IF(OR(I107&lt;&gt;"",R107&lt;&gt;""),MAX(0,TODAY()-IF(I107&lt;&gt;"",I107,R107)),0)))</x:f>
      </x:c>
      <x:c r="W107" s="95"/>
      <x:c r="X107" s="95"/>
      <x:c r="Y107" s="92"/>
      <x:c r="Z107" s="92"/>
      <x:c r="AA107" s="92"/>
      <x:c r="AB107" s="92"/>
      <x:c r="AC107" s="113" t="str">
        <x:f>IF(A107="","",IF(P107="","",IF(S107&lt;&gt;"",S107-P107,TODAY()-P107)))</x:f>
      </x:c>
    </x:row>
    <x:row r="108" ht="28" customHeight="1">
      <x:c r="A108" s="92"/>
      <x:c r="B108" s="95"/>
      <x:c r="C108" s="92"/>
      <x:c r="D108" s="92"/>
      <x:c r="E108" s="92"/>
      <x:c r="F108" s="92"/>
      <x:c r="G108" s="92"/>
      <x:c r="H108" s="92"/>
      <x:c r="I108" s="101"/>
      <x:c r="J108" s="107"/>
      <x:c r="K108" s="110" t="str">
        <x:f>IF(A108="","",IFERROR(VLOOKUP(C108,'Cấu hình'!$A$12:$D$19,2,FALSE),0))</x:f>
      </x:c>
      <x:c r="L108" s="92"/>
      <x:c r="M108" s="92"/>
      <x:c r="N108" s="95"/>
      <x:c r="O108" s="101"/>
      <x:c r="P108" s="101"/>
      <x:c r="Q108" s="101"/>
      <x:c r="R108" s="104" t="str">
        <x:f>IF(OR(P108="",D108=""),"",P108+IFERROR(VLOOKUP(D108,'Cấu hình'!$E$12:$G$15,3,FALSE),0))</x:f>
      </x:c>
      <x:c r="S108" s="101"/>
      <x:c r="T108" s="107"/>
      <x:c r="U108" s="113" t="str">
        <x:f>IF(A108="","",IF(S108&lt;&gt;"",0,IF(I108&lt;&gt;"",I108-TODAY(),IF(R108&lt;&gt;"",R108-TODAY(),""))))</x:f>
      </x:c>
      <x:c r="V108" s="113" t="str">
        <x:f>IF(A108="","",IF(S108&lt;&gt;"",MAX(0,S108-IF(I108&lt;&gt;"",I108,R108)),IF(OR(I108&lt;&gt;"",R108&lt;&gt;""),MAX(0,TODAY()-IF(I108&lt;&gt;"",I108,R108)),0)))</x:f>
      </x:c>
      <x:c r="W108" s="95"/>
      <x:c r="X108" s="95"/>
      <x:c r="Y108" s="92"/>
      <x:c r="Z108" s="92"/>
      <x:c r="AA108" s="92"/>
      <x:c r="AB108" s="92"/>
      <x:c r="AC108" s="113" t="str">
        <x:f>IF(A108="","",IF(P108="","",IF(S108&lt;&gt;"",S108-P108,TODAY()-P108)))</x:f>
      </x:c>
    </x:row>
    <x:row r="109" ht="28" customHeight="1">
      <x:c r="A109" s="92"/>
      <x:c r="B109" s="95"/>
      <x:c r="C109" s="92"/>
      <x:c r="D109" s="92"/>
      <x:c r="E109" s="92"/>
      <x:c r="F109" s="92"/>
      <x:c r="G109" s="92"/>
      <x:c r="H109" s="92"/>
      <x:c r="I109" s="101"/>
      <x:c r="J109" s="107"/>
      <x:c r="K109" s="110" t="str">
        <x:f>IF(A109="","",IFERROR(VLOOKUP(C109,'Cấu hình'!$A$12:$D$19,2,FALSE),0))</x:f>
      </x:c>
      <x:c r="L109" s="92"/>
      <x:c r="M109" s="92"/>
      <x:c r="N109" s="95"/>
      <x:c r="O109" s="101"/>
      <x:c r="P109" s="101"/>
      <x:c r="Q109" s="101"/>
      <x:c r="R109" s="104" t="str">
        <x:f>IF(OR(P109="",D109=""),"",P109+IFERROR(VLOOKUP(D109,'Cấu hình'!$E$12:$G$15,3,FALSE),0))</x:f>
      </x:c>
      <x:c r="S109" s="101"/>
      <x:c r="T109" s="107"/>
      <x:c r="U109" s="113" t="str">
        <x:f>IF(A109="","",IF(S109&lt;&gt;"",0,IF(I109&lt;&gt;"",I109-TODAY(),IF(R109&lt;&gt;"",R109-TODAY(),""))))</x:f>
      </x:c>
      <x:c r="V109" s="113" t="str">
        <x:f>IF(A109="","",IF(S109&lt;&gt;"",MAX(0,S109-IF(I109&lt;&gt;"",I109,R109)),IF(OR(I109&lt;&gt;"",R109&lt;&gt;""),MAX(0,TODAY()-IF(I109&lt;&gt;"",I109,R109)),0)))</x:f>
      </x:c>
      <x:c r="W109" s="95"/>
      <x:c r="X109" s="95"/>
      <x:c r="Y109" s="92"/>
      <x:c r="Z109" s="92"/>
      <x:c r="AA109" s="92"/>
      <x:c r="AB109" s="92"/>
      <x:c r="AC109" s="113" t="str">
        <x:f>IF(A109="","",IF(P109="","",IF(S109&lt;&gt;"",S109-P109,TODAY()-P109)))</x:f>
      </x:c>
    </x:row>
    <x:row r="110" ht="28" customHeight="1">
      <x:c r="A110" s="92"/>
      <x:c r="B110" s="95"/>
      <x:c r="C110" s="92"/>
      <x:c r="D110" s="92"/>
      <x:c r="E110" s="92"/>
      <x:c r="F110" s="92"/>
      <x:c r="G110" s="92"/>
      <x:c r="H110" s="92"/>
      <x:c r="I110" s="101"/>
      <x:c r="J110" s="107"/>
      <x:c r="K110" s="110" t="str">
        <x:f>IF(A110="","",IFERROR(VLOOKUP(C110,'Cấu hình'!$A$12:$D$19,2,FALSE),0))</x:f>
      </x:c>
      <x:c r="L110" s="92"/>
      <x:c r="M110" s="92"/>
      <x:c r="N110" s="95"/>
      <x:c r="O110" s="101"/>
      <x:c r="P110" s="101"/>
      <x:c r="Q110" s="101"/>
      <x:c r="R110" s="104" t="str">
        <x:f>IF(OR(P110="",D110=""),"",P110+IFERROR(VLOOKUP(D110,'Cấu hình'!$E$12:$G$15,3,FALSE),0))</x:f>
      </x:c>
      <x:c r="S110" s="101"/>
      <x:c r="T110" s="107"/>
      <x:c r="U110" s="113" t="str">
        <x:f>IF(A110="","",IF(S110&lt;&gt;"",0,IF(I110&lt;&gt;"",I110-TODAY(),IF(R110&lt;&gt;"",R110-TODAY(),""))))</x:f>
      </x:c>
      <x:c r="V110" s="113" t="str">
        <x:f>IF(A110="","",IF(S110&lt;&gt;"",MAX(0,S110-IF(I110&lt;&gt;"",I110,R110)),IF(OR(I110&lt;&gt;"",R110&lt;&gt;""),MAX(0,TODAY()-IF(I110&lt;&gt;"",I110,R110)),0)))</x:f>
      </x:c>
      <x:c r="W110" s="95"/>
      <x:c r="X110" s="95"/>
      <x:c r="Y110" s="92"/>
      <x:c r="Z110" s="92"/>
      <x:c r="AA110" s="92"/>
      <x:c r="AB110" s="92"/>
      <x:c r="AC110" s="113" t="str">
        <x:f>IF(A110="","",IF(P110="","",IF(S110&lt;&gt;"",S110-P110,TODAY()-P110)))</x:f>
      </x:c>
    </x:row>
    <x:row r="111" ht="28" customHeight="1">
      <x:c r="A111" s="92"/>
      <x:c r="B111" s="95"/>
      <x:c r="C111" s="92"/>
      <x:c r="D111" s="92"/>
      <x:c r="E111" s="92"/>
      <x:c r="F111" s="92"/>
      <x:c r="G111" s="92"/>
      <x:c r="H111" s="92"/>
      <x:c r="I111" s="101"/>
      <x:c r="J111" s="107"/>
      <x:c r="K111" s="110" t="str">
        <x:f>IF(A111="","",IFERROR(VLOOKUP(C111,'Cấu hình'!$A$12:$D$19,2,FALSE),0))</x:f>
      </x:c>
      <x:c r="L111" s="92"/>
      <x:c r="M111" s="92"/>
      <x:c r="N111" s="95"/>
      <x:c r="O111" s="101"/>
      <x:c r="P111" s="101"/>
      <x:c r="Q111" s="101"/>
      <x:c r="R111" s="104" t="str">
        <x:f>IF(OR(P111="",D111=""),"",P111+IFERROR(VLOOKUP(D111,'Cấu hình'!$E$12:$G$15,3,FALSE),0))</x:f>
      </x:c>
      <x:c r="S111" s="101"/>
      <x:c r="T111" s="107"/>
      <x:c r="U111" s="113" t="str">
        <x:f>IF(A111="","",IF(S111&lt;&gt;"",0,IF(I111&lt;&gt;"",I111-TODAY(),IF(R111&lt;&gt;"",R111-TODAY(),""))))</x:f>
      </x:c>
      <x:c r="V111" s="113" t="str">
        <x:f>IF(A111="","",IF(S111&lt;&gt;"",MAX(0,S111-IF(I111&lt;&gt;"",I111,R111)),IF(OR(I111&lt;&gt;"",R111&lt;&gt;""),MAX(0,TODAY()-IF(I111&lt;&gt;"",I111,R111)),0)))</x:f>
      </x:c>
      <x:c r="W111" s="95"/>
      <x:c r="X111" s="95"/>
      <x:c r="Y111" s="92"/>
      <x:c r="Z111" s="92"/>
      <x:c r="AA111" s="92"/>
      <x:c r="AB111" s="92"/>
      <x:c r="AC111" s="113" t="str">
        <x:f>IF(A111="","",IF(P111="","",IF(S111&lt;&gt;"",S111-P111,TODAY()-P111)))</x:f>
      </x:c>
    </x:row>
    <x:row r="112" ht="28" customHeight="1">
      <x:c r="A112" s="92"/>
      <x:c r="B112" s="95"/>
      <x:c r="C112" s="92"/>
      <x:c r="D112" s="92"/>
      <x:c r="E112" s="92"/>
      <x:c r="F112" s="92"/>
      <x:c r="G112" s="92"/>
      <x:c r="H112" s="92"/>
      <x:c r="I112" s="101"/>
      <x:c r="J112" s="107"/>
      <x:c r="K112" s="110" t="str">
        <x:f>IF(A112="","",IFERROR(VLOOKUP(C112,'Cấu hình'!$A$12:$D$19,2,FALSE),0))</x:f>
      </x:c>
      <x:c r="L112" s="92"/>
      <x:c r="M112" s="92"/>
      <x:c r="N112" s="95"/>
      <x:c r="O112" s="101"/>
      <x:c r="P112" s="101"/>
      <x:c r="Q112" s="101"/>
      <x:c r="R112" s="104" t="str">
        <x:f>IF(OR(P112="",D112=""),"",P112+IFERROR(VLOOKUP(D112,'Cấu hình'!$E$12:$G$15,3,FALSE),0))</x:f>
      </x:c>
      <x:c r="S112" s="101"/>
      <x:c r="T112" s="107"/>
      <x:c r="U112" s="113" t="str">
        <x:f>IF(A112="","",IF(S112&lt;&gt;"",0,IF(I112&lt;&gt;"",I112-TODAY(),IF(R112&lt;&gt;"",R112-TODAY(),""))))</x:f>
      </x:c>
      <x:c r="V112" s="113" t="str">
        <x:f>IF(A112="","",IF(S112&lt;&gt;"",MAX(0,S112-IF(I112&lt;&gt;"",I112,R112)),IF(OR(I112&lt;&gt;"",R112&lt;&gt;""),MAX(0,TODAY()-IF(I112&lt;&gt;"",I112,R112)),0)))</x:f>
      </x:c>
      <x:c r="W112" s="95"/>
      <x:c r="X112" s="95"/>
      <x:c r="Y112" s="92"/>
      <x:c r="Z112" s="92"/>
      <x:c r="AA112" s="92"/>
      <x:c r="AB112" s="92"/>
      <x:c r="AC112" s="113" t="str">
        <x:f>IF(A112="","",IF(P112="","",IF(S112&lt;&gt;"",S112-P112,TODAY()-P112)))</x:f>
      </x:c>
    </x:row>
    <x:row r="113" ht="28" customHeight="1">
      <x:c r="A113" s="92"/>
      <x:c r="B113" s="95"/>
      <x:c r="C113" s="92"/>
      <x:c r="D113" s="92"/>
      <x:c r="E113" s="92"/>
      <x:c r="F113" s="92"/>
      <x:c r="G113" s="92"/>
      <x:c r="H113" s="92"/>
      <x:c r="I113" s="101"/>
      <x:c r="J113" s="107"/>
      <x:c r="K113" s="110" t="str">
        <x:f>IF(A113="","",IFERROR(VLOOKUP(C113,'Cấu hình'!$A$12:$D$19,2,FALSE),0))</x:f>
      </x:c>
      <x:c r="L113" s="92"/>
      <x:c r="M113" s="92"/>
      <x:c r="N113" s="95"/>
      <x:c r="O113" s="101"/>
      <x:c r="P113" s="101"/>
      <x:c r="Q113" s="101"/>
      <x:c r="R113" s="104" t="str">
        <x:f>IF(OR(P113="",D113=""),"",P113+IFERROR(VLOOKUP(D113,'Cấu hình'!$E$12:$G$15,3,FALSE),0))</x:f>
      </x:c>
      <x:c r="S113" s="101"/>
      <x:c r="T113" s="107"/>
      <x:c r="U113" s="113" t="str">
        <x:f>IF(A113="","",IF(S113&lt;&gt;"",0,IF(I113&lt;&gt;"",I113-TODAY(),IF(R113&lt;&gt;"",R113-TODAY(),""))))</x:f>
      </x:c>
      <x:c r="V113" s="113" t="str">
        <x:f>IF(A113="","",IF(S113&lt;&gt;"",MAX(0,S113-IF(I113&lt;&gt;"",I113,R113)),IF(OR(I113&lt;&gt;"",R113&lt;&gt;""),MAX(0,TODAY()-IF(I113&lt;&gt;"",I113,R113)),0)))</x:f>
      </x:c>
      <x:c r="W113" s="95"/>
      <x:c r="X113" s="95"/>
      <x:c r="Y113" s="92"/>
      <x:c r="Z113" s="92"/>
      <x:c r="AA113" s="92"/>
      <x:c r="AB113" s="92"/>
      <x:c r="AC113" s="113" t="str">
        <x:f>IF(A113="","",IF(P113="","",IF(S113&lt;&gt;"",S113-P113,TODAY()-P113)))</x:f>
      </x:c>
    </x:row>
    <x:row r="114" ht="28" customHeight="1">
      <x:c r="A114" s="92"/>
      <x:c r="B114" s="95"/>
      <x:c r="C114" s="92"/>
      <x:c r="D114" s="92"/>
      <x:c r="E114" s="92"/>
      <x:c r="F114" s="92"/>
      <x:c r="G114" s="92"/>
      <x:c r="H114" s="92"/>
      <x:c r="I114" s="101"/>
      <x:c r="J114" s="107"/>
      <x:c r="K114" s="110" t="str">
        <x:f>IF(A114="","",IFERROR(VLOOKUP(C114,'Cấu hình'!$A$12:$D$19,2,FALSE),0))</x:f>
      </x:c>
      <x:c r="L114" s="92"/>
      <x:c r="M114" s="92"/>
      <x:c r="N114" s="95"/>
      <x:c r="O114" s="101"/>
      <x:c r="P114" s="101"/>
      <x:c r="Q114" s="101"/>
      <x:c r="R114" s="104" t="str">
        <x:f>IF(OR(P114="",D114=""),"",P114+IFERROR(VLOOKUP(D114,'Cấu hình'!$E$12:$G$15,3,FALSE),0))</x:f>
      </x:c>
      <x:c r="S114" s="101"/>
      <x:c r="T114" s="107"/>
      <x:c r="U114" s="113" t="str">
        <x:f>IF(A114="","",IF(S114&lt;&gt;"",0,IF(I114&lt;&gt;"",I114-TODAY(),IF(R114&lt;&gt;"",R114-TODAY(),""))))</x:f>
      </x:c>
      <x:c r="V114" s="113" t="str">
        <x:f>IF(A114="","",IF(S114&lt;&gt;"",MAX(0,S114-IF(I114&lt;&gt;"",I114,R114)),IF(OR(I114&lt;&gt;"",R114&lt;&gt;""),MAX(0,TODAY()-IF(I114&lt;&gt;"",I114,R114)),0)))</x:f>
      </x:c>
      <x:c r="W114" s="95"/>
      <x:c r="X114" s="95"/>
      <x:c r="Y114" s="92"/>
      <x:c r="Z114" s="92"/>
      <x:c r="AA114" s="92"/>
      <x:c r="AB114" s="92"/>
      <x:c r="AC114" s="113" t="str">
        <x:f>IF(A114="","",IF(P114="","",IF(S114&lt;&gt;"",S114-P114,TODAY()-P114)))</x:f>
      </x:c>
    </x:row>
    <x:row r="115" ht="28" customHeight="1">
      <x:c r="A115" s="92"/>
      <x:c r="B115" s="95"/>
      <x:c r="C115" s="92"/>
      <x:c r="D115" s="92"/>
      <x:c r="E115" s="92"/>
      <x:c r="F115" s="92"/>
      <x:c r="G115" s="92"/>
      <x:c r="H115" s="92"/>
      <x:c r="I115" s="101"/>
      <x:c r="J115" s="107"/>
      <x:c r="K115" s="110" t="str">
        <x:f>IF(A115="","",IFERROR(VLOOKUP(C115,'Cấu hình'!$A$12:$D$19,2,FALSE),0))</x:f>
      </x:c>
      <x:c r="L115" s="92"/>
      <x:c r="M115" s="92"/>
      <x:c r="N115" s="95"/>
      <x:c r="O115" s="101"/>
      <x:c r="P115" s="101"/>
      <x:c r="Q115" s="101"/>
      <x:c r="R115" s="104" t="str">
        <x:f>IF(OR(P115="",D115=""),"",P115+IFERROR(VLOOKUP(D115,'Cấu hình'!$E$12:$G$15,3,FALSE),0))</x:f>
      </x:c>
      <x:c r="S115" s="101"/>
      <x:c r="T115" s="107"/>
      <x:c r="U115" s="113" t="str">
        <x:f>IF(A115="","",IF(S115&lt;&gt;"",0,IF(I115&lt;&gt;"",I115-TODAY(),IF(R115&lt;&gt;"",R115-TODAY(),""))))</x:f>
      </x:c>
      <x:c r="V115" s="113" t="str">
        <x:f>IF(A115="","",IF(S115&lt;&gt;"",MAX(0,S115-IF(I115&lt;&gt;"",I115,R115)),IF(OR(I115&lt;&gt;"",R115&lt;&gt;""),MAX(0,TODAY()-IF(I115&lt;&gt;"",I115,R115)),0)))</x:f>
      </x:c>
      <x:c r="W115" s="95"/>
      <x:c r="X115" s="95"/>
      <x:c r="Y115" s="92"/>
      <x:c r="Z115" s="92"/>
      <x:c r="AA115" s="92"/>
      <x:c r="AB115" s="92"/>
      <x:c r="AC115" s="113" t="str">
        <x:f>IF(A115="","",IF(P115="","",IF(S115&lt;&gt;"",S115-P115,TODAY()-P115)))</x:f>
      </x:c>
    </x:row>
    <x:row r="116" ht="28" customHeight="1">
      <x:c r="A116" s="92"/>
      <x:c r="B116" s="95"/>
      <x:c r="C116" s="92"/>
      <x:c r="D116" s="92"/>
      <x:c r="E116" s="92"/>
      <x:c r="F116" s="92"/>
      <x:c r="G116" s="92"/>
      <x:c r="H116" s="92"/>
      <x:c r="I116" s="101"/>
      <x:c r="J116" s="107"/>
      <x:c r="K116" s="110" t="str">
        <x:f>IF(A116="","",IFERROR(VLOOKUP(C116,'Cấu hình'!$A$12:$D$19,2,FALSE),0))</x:f>
      </x:c>
      <x:c r="L116" s="92"/>
      <x:c r="M116" s="92"/>
      <x:c r="N116" s="95"/>
      <x:c r="O116" s="101"/>
      <x:c r="P116" s="101"/>
      <x:c r="Q116" s="101"/>
      <x:c r="R116" s="104" t="str">
        <x:f>IF(OR(P116="",D116=""),"",P116+IFERROR(VLOOKUP(D116,'Cấu hình'!$E$12:$G$15,3,FALSE),0))</x:f>
      </x:c>
      <x:c r="S116" s="101"/>
      <x:c r="T116" s="107"/>
      <x:c r="U116" s="113" t="str">
        <x:f>IF(A116="","",IF(S116&lt;&gt;"",0,IF(I116&lt;&gt;"",I116-TODAY(),IF(R116&lt;&gt;"",R116-TODAY(),""))))</x:f>
      </x:c>
      <x:c r="V116" s="113" t="str">
        <x:f>IF(A116="","",IF(S116&lt;&gt;"",MAX(0,S116-IF(I116&lt;&gt;"",I116,R116)),IF(OR(I116&lt;&gt;"",R116&lt;&gt;""),MAX(0,TODAY()-IF(I116&lt;&gt;"",I116,R116)),0)))</x:f>
      </x:c>
      <x:c r="W116" s="95"/>
      <x:c r="X116" s="95"/>
      <x:c r="Y116" s="92"/>
      <x:c r="Z116" s="92"/>
      <x:c r="AA116" s="92"/>
      <x:c r="AB116" s="92"/>
      <x:c r="AC116" s="113" t="str">
        <x:f>IF(A116="","",IF(P116="","",IF(S116&lt;&gt;"",S116-P116,TODAY()-P116)))</x:f>
      </x:c>
    </x:row>
    <x:row r="117" ht="28" customHeight="1">
      <x:c r="A117" s="92"/>
      <x:c r="B117" s="95"/>
      <x:c r="C117" s="92"/>
      <x:c r="D117" s="92"/>
      <x:c r="E117" s="92"/>
      <x:c r="F117" s="92"/>
      <x:c r="G117" s="92"/>
      <x:c r="H117" s="92"/>
      <x:c r="I117" s="101"/>
      <x:c r="J117" s="107"/>
      <x:c r="K117" s="110" t="str">
        <x:f>IF(A117="","",IFERROR(VLOOKUP(C117,'Cấu hình'!$A$12:$D$19,2,FALSE),0))</x:f>
      </x:c>
      <x:c r="L117" s="92"/>
      <x:c r="M117" s="92"/>
      <x:c r="N117" s="95"/>
      <x:c r="O117" s="101"/>
      <x:c r="P117" s="101"/>
      <x:c r="Q117" s="101"/>
      <x:c r="R117" s="104" t="str">
        <x:f>IF(OR(P117="",D117=""),"",P117+IFERROR(VLOOKUP(D117,'Cấu hình'!$E$12:$G$15,3,FALSE),0))</x:f>
      </x:c>
      <x:c r="S117" s="101"/>
      <x:c r="T117" s="107"/>
      <x:c r="U117" s="113" t="str">
        <x:f>IF(A117="","",IF(S117&lt;&gt;"",0,IF(I117&lt;&gt;"",I117-TODAY(),IF(R117&lt;&gt;"",R117-TODAY(),""))))</x:f>
      </x:c>
      <x:c r="V117" s="113" t="str">
        <x:f>IF(A117="","",IF(S117&lt;&gt;"",MAX(0,S117-IF(I117&lt;&gt;"",I117,R117)),IF(OR(I117&lt;&gt;"",R117&lt;&gt;""),MAX(0,TODAY()-IF(I117&lt;&gt;"",I117,R117)),0)))</x:f>
      </x:c>
      <x:c r="W117" s="95"/>
      <x:c r="X117" s="95"/>
      <x:c r="Y117" s="92"/>
      <x:c r="Z117" s="92"/>
      <x:c r="AA117" s="92"/>
      <x:c r="AB117" s="92"/>
      <x:c r="AC117" s="113" t="str">
        <x:f>IF(A117="","",IF(P117="","",IF(S117&lt;&gt;"",S117-P117,TODAY()-P117)))</x:f>
      </x:c>
    </x:row>
    <x:row r="118" ht="28" customHeight="1">
      <x:c r="A118" s="92"/>
      <x:c r="B118" s="95"/>
      <x:c r="C118" s="92"/>
      <x:c r="D118" s="92"/>
      <x:c r="E118" s="92"/>
      <x:c r="F118" s="92"/>
      <x:c r="G118" s="92"/>
      <x:c r="H118" s="92"/>
      <x:c r="I118" s="101"/>
      <x:c r="J118" s="107"/>
      <x:c r="K118" s="110" t="str">
        <x:f>IF(A118="","",IFERROR(VLOOKUP(C118,'Cấu hình'!$A$12:$D$19,2,FALSE),0))</x:f>
      </x:c>
      <x:c r="L118" s="92"/>
      <x:c r="M118" s="92"/>
      <x:c r="N118" s="95"/>
      <x:c r="O118" s="101"/>
      <x:c r="P118" s="101"/>
      <x:c r="Q118" s="101"/>
      <x:c r="R118" s="104" t="str">
        <x:f>IF(OR(P118="",D118=""),"",P118+IFERROR(VLOOKUP(D118,'Cấu hình'!$E$12:$G$15,3,FALSE),0))</x:f>
      </x:c>
      <x:c r="S118" s="101"/>
      <x:c r="T118" s="107"/>
      <x:c r="U118" s="113" t="str">
        <x:f>IF(A118="","",IF(S118&lt;&gt;"",0,IF(I118&lt;&gt;"",I118-TODAY(),IF(R118&lt;&gt;"",R118-TODAY(),""))))</x:f>
      </x:c>
      <x:c r="V118" s="113" t="str">
        <x:f>IF(A118="","",IF(S118&lt;&gt;"",MAX(0,S118-IF(I118&lt;&gt;"",I118,R118)),IF(OR(I118&lt;&gt;"",R118&lt;&gt;""),MAX(0,TODAY()-IF(I118&lt;&gt;"",I118,R118)),0)))</x:f>
      </x:c>
      <x:c r="W118" s="95"/>
      <x:c r="X118" s="95"/>
      <x:c r="Y118" s="92"/>
      <x:c r="Z118" s="92"/>
      <x:c r="AA118" s="92"/>
      <x:c r="AB118" s="92"/>
      <x:c r="AC118" s="113" t="str">
        <x:f>IF(A118="","",IF(P118="","",IF(S118&lt;&gt;"",S118-P118,TODAY()-P118)))</x:f>
      </x:c>
    </x:row>
    <x:row r="119" ht="28" customHeight="1">
      <x:c r="A119" s="92"/>
      <x:c r="B119" s="95"/>
      <x:c r="C119" s="92"/>
      <x:c r="D119" s="92"/>
      <x:c r="E119" s="92"/>
      <x:c r="F119" s="92"/>
      <x:c r="G119" s="92"/>
      <x:c r="H119" s="92"/>
      <x:c r="I119" s="101"/>
      <x:c r="J119" s="107"/>
      <x:c r="K119" s="110" t="str">
        <x:f>IF(A119="","",IFERROR(VLOOKUP(C119,'Cấu hình'!$A$12:$D$19,2,FALSE),0))</x:f>
      </x:c>
      <x:c r="L119" s="92"/>
      <x:c r="M119" s="92"/>
      <x:c r="N119" s="95"/>
      <x:c r="O119" s="101"/>
      <x:c r="P119" s="101"/>
      <x:c r="Q119" s="101"/>
      <x:c r="R119" s="104" t="str">
        <x:f>IF(OR(P119="",D119=""),"",P119+IFERROR(VLOOKUP(D119,'Cấu hình'!$E$12:$G$15,3,FALSE),0))</x:f>
      </x:c>
      <x:c r="S119" s="101"/>
      <x:c r="T119" s="107"/>
      <x:c r="U119" s="113" t="str">
        <x:f>IF(A119="","",IF(S119&lt;&gt;"",0,IF(I119&lt;&gt;"",I119-TODAY(),IF(R119&lt;&gt;"",R119-TODAY(),""))))</x:f>
      </x:c>
      <x:c r="V119" s="113" t="str">
        <x:f>IF(A119="","",IF(S119&lt;&gt;"",MAX(0,S119-IF(I119&lt;&gt;"",I119,R119)),IF(OR(I119&lt;&gt;"",R119&lt;&gt;""),MAX(0,TODAY()-IF(I119&lt;&gt;"",I119,R119)),0)))</x:f>
      </x:c>
      <x:c r="W119" s="95"/>
      <x:c r="X119" s="95"/>
      <x:c r="Y119" s="92"/>
      <x:c r="Z119" s="92"/>
      <x:c r="AA119" s="92"/>
      <x:c r="AB119" s="92"/>
      <x:c r="AC119" s="113" t="str">
        <x:f>IF(A119="","",IF(P119="","",IF(S119&lt;&gt;"",S119-P119,TODAY()-P119)))</x:f>
      </x:c>
    </x:row>
    <x:row r="120" ht="28" customHeight="1">
      <x:c r="A120" s="92"/>
      <x:c r="B120" s="95"/>
      <x:c r="C120" s="92"/>
      <x:c r="D120" s="92"/>
      <x:c r="E120" s="92"/>
      <x:c r="F120" s="92"/>
      <x:c r="G120" s="92"/>
      <x:c r="H120" s="92"/>
      <x:c r="I120" s="101"/>
      <x:c r="J120" s="107"/>
      <x:c r="K120" s="110" t="str">
        <x:f>IF(A120="","",IFERROR(VLOOKUP(C120,'Cấu hình'!$A$12:$D$19,2,FALSE),0))</x:f>
      </x:c>
      <x:c r="L120" s="92"/>
      <x:c r="M120" s="92"/>
      <x:c r="N120" s="95"/>
      <x:c r="O120" s="101"/>
      <x:c r="P120" s="101"/>
      <x:c r="Q120" s="101"/>
      <x:c r="R120" s="104" t="str">
        <x:f>IF(OR(P120="",D120=""),"",P120+IFERROR(VLOOKUP(D120,'Cấu hình'!$E$12:$G$15,3,FALSE),0))</x:f>
      </x:c>
      <x:c r="S120" s="101"/>
      <x:c r="T120" s="107"/>
      <x:c r="U120" s="113" t="str">
        <x:f>IF(A120="","",IF(S120&lt;&gt;"",0,IF(I120&lt;&gt;"",I120-TODAY(),IF(R120&lt;&gt;"",R120-TODAY(),""))))</x:f>
      </x:c>
      <x:c r="V120" s="113" t="str">
        <x:f>IF(A120="","",IF(S120&lt;&gt;"",MAX(0,S120-IF(I120&lt;&gt;"",I120,R120)),IF(OR(I120&lt;&gt;"",R120&lt;&gt;""),MAX(0,TODAY()-IF(I120&lt;&gt;"",I120,R120)),0)))</x:f>
      </x:c>
      <x:c r="W120" s="95"/>
      <x:c r="X120" s="95"/>
      <x:c r="Y120" s="92"/>
      <x:c r="Z120" s="92"/>
      <x:c r="AA120" s="92"/>
      <x:c r="AB120" s="92"/>
      <x:c r="AC120" s="113" t="str">
        <x:f>IF(A120="","",IF(P120="","",IF(S120&lt;&gt;"",S120-P120,TODAY()-P120)))</x:f>
      </x:c>
    </x:row>
    <x:row r="121" ht="28" customHeight="1">
      <x:c r="A121" s="92"/>
      <x:c r="B121" s="95"/>
      <x:c r="C121" s="92"/>
      <x:c r="D121" s="92"/>
      <x:c r="E121" s="92"/>
      <x:c r="F121" s="92"/>
      <x:c r="G121" s="92"/>
      <x:c r="H121" s="92"/>
      <x:c r="I121" s="101"/>
      <x:c r="J121" s="107"/>
      <x:c r="K121" s="110" t="str">
        <x:f>IF(A121="","",IFERROR(VLOOKUP(C121,'Cấu hình'!$A$12:$D$19,2,FALSE),0))</x:f>
      </x:c>
      <x:c r="L121" s="92"/>
      <x:c r="M121" s="92"/>
      <x:c r="N121" s="95"/>
      <x:c r="O121" s="101"/>
      <x:c r="P121" s="101"/>
      <x:c r="Q121" s="101"/>
      <x:c r="R121" s="104" t="str">
        <x:f>IF(OR(P121="",D121=""),"",P121+IFERROR(VLOOKUP(D121,'Cấu hình'!$E$12:$G$15,3,FALSE),0))</x:f>
      </x:c>
      <x:c r="S121" s="101"/>
      <x:c r="T121" s="107"/>
      <x:c r="U121" s="113" t="str">
        <x:f>IF(A121="","",IF(S121&lt;&gt;"",0,IF(I121&lt;&gt;"",I121-TODAY(),IF(R121&lt;&gt;"",R121-TODAY(),""))))</x:f>
      </x:c>
      <x:c r="V121" s="113" t="str">
        <x:f>IF(A121="","",IF(S121&lt;&gt;"",MAX(0,S121-IF(I121&lt;&gt;"",I121,R121)),IF(OR(I121&lt;&gt;"",R121&lt;&gt;""),MAX(0,TODAY()-IF(I121&lt;&gt;"",I121,R121)),0)))</x:f>
      </x:c>
      <x:c r="W121" s="95"/>
      <x:c r="X121" s="95"/>
      <x:c r="Y121" s="92"/>
      <x:c r="Z121" s="92"/>
      <x:c r="AA121" s="92"/>
      <x:c r="AB121" s="92"/>
      <x:c r="AC121" s="113" t="str">
        <x:f>IF(A121="","",IF(P121="","",IF(S121&lt;&gt;"",S121-P121,TODAY()-P121)))</x:f>
      </x:c>
    </x:row>
    <x:row r="122" ht="28" customHeight="1">
      <x:c r="A122" s="92"/>
      <x:c r="B122" s="95"/>
      <x:c r="C122" s="92"/>
      <x:c r="D122" s="92"/>
      <x:c r="E122" s="92"/>
      <x:c r="F122" s="92"/>
      <x:c r="G122" s="92"/>
      <x:c r="H122" s="92"/>
      <x:c r="I122" s="101"/>
      <x:c r="J122" s="107"/>
      <x:c r="K122" s="110" t="str">
        <x:f>IF(A122="","",IFERROR(VLOOKUP(C122,'Cấu hình'!$A$12:$D$19,2,FALSE),0))</x:f>
      </x:c>
      <x:c r="L122" s="92"/>
      <x:c r="M122" s="92"/>
      <x:c r="N122" s="95"/>
      <x:c r="O122" s="101"/>
      <x:c r="P122" s="101"/>
      <x:c r="Q122" s="101"/>
      <x:c r="R122" s="104" t="str">
        <x:f>IF(OR(P122="",D122=""),"",P122+IFERROR(VLOOKUP(D122,'Cấu hình'!$E$12:$G$15,3,FALSE),0))</x:f>
      </x:c>
      <x:c r="S122" s="101"/>
      <x:c r="T122" s="107"/>
      <x:c r="U122" s="113" t="str">
        <x:f>IF(A122="","",IF(S122&lt;&gt;"",0,IF(I122&lt;&gt;"",I122-TODAY(),IF(R122&lt;&gt;"",R122-TODAY(),""))))</x:f>
      </x:c>
      <x:c r="V122" s="113" t="str">
        <x:f>IF(A122="","",IF(S122&lt;&gt;"",MAX(0,S122-IF(I122&lt;&gt;"",I122,R122)),IF(OR(I122&lt;&gt;"",R122&lt;&gt;""),MAX(0,TODAY()-IF(I122&lt;&gt;"",I122,R122)),0)))</x:f>
      </x:c>
      <x:c r="W122" s="95"/>
      <x:c r="X122" s="95"/>
      <x:c r="Y122" s="92"/>
      <x:c r="Z122" s="92"/>
      <x:c r="AA122" s="92"/>
      <x:c r="AB122" s="92"/>
      <x:c r="AC122" s="113" t="str">
        <x:f>IF(A122="","",IF(P122="","",IF(S122&lt;&gt;"",S122-P122,TODAY()-P122)))</x:f>
      </x:c>
    </x:row>
    <x:row r="123" ht="28" customHeight="1">
      <x:c r="A123" s="92"/>
      <x:c r="B123" s="95"/>
      <x:c r="C123" s="92"/>
      <x:c r="D123" s="92"/>
      <x:c r="E123" s="92"/>
      <x:c r="F123" s="92"/>
      <x:c r="G123" s="92"/>
      <x:c r="H123" s="92"/>
      <x:c r="I123" s="101"/>
      <x:c r="J123" s="107"/>
      <x:c r="K123" s="110" t="str">
        <x:f>IF(A123="","",IFERROR(VLOOKUP(C123,'Cấu hình'!$A$12:$D$19,2,FALSE),0))</x:f>
      </x:c>
      <x:c r="L123" s="92"/>
      <x:c r="M123" s="92"/>
      <x:c r="N123" s="95"/>
      <x:c r="O123" s="101"/>
      <x:c r="P123" s="101"/>
      <x:c r="Q123" s="101"/>
      <x:c r="R123" s="104" t="str">
        <x:f>IF(OR(P123="",D123=""),"",P123+IFERROR(VLOOKUP(D123,'Cấu hình'!$E$12:$G$15,3,FALSE),0))</x:f>
      </x:c>
      <x:c r="S123" s="101"/>
      <x:c r="T123" s="107"/>
      <x:c r="U123" s="113" t="str">
        <x:f>IF(A123="","",IF(S123&lt;&gt;"",0,IF(I123&lt;&gt;"",I123-TODAY(),IF(R123&lt;&gt;"",R123-TODAY(),""))))</x:f>
      </x:c>
      <x:c r="V123" s="113" t="str">
        <x:f>IF(A123="","",IF(S123&lt;&gt;"",MAX(0,S123-IF(I123&lt;&gt;"",I123,R123)),IF(OR(I123&lt;&gt;"",R123&lt;&gt;""),MAX(0,TODAY()-IF(I123&lt;&gt;"",I123,R123)),0)))</x:f>
      </x:c>
      <x:c r="W123" s="95"/>
      <x:c r="X123" s="95"/>
      <x:c r="Y123" s="92"/>
      <x:c r="Z123" s="92"/>
      <x:c r="AA123" s="92"/>
      <x:c r="AB123" s="92"/>
      <x:c r="AC123" s="113" t="str">
        <x:f>IF(A123="","",IF(P123="","",IF(S123&lt;&gt;"",S123-P123,TODAY()-P123)))</x:f>
      </x:c>
    </x:row>
    <x:row r="124" ht="28" customHeight="1">
      <x:c r="A124" s="92"/>
      <x:c r="B124" s="95"/>
      <x:c r="C124" s="92"/>
      <x:c r="D124" s="92"/>
      <x:c r="E124" s="92"/>
      <x:c r="F124" s="92"/>
      <x:c r="G124" s="92"/>
      <x:c r="H124" s="92"/>
      <x:c r="I124" s="101"/>
      <x:c r="J124" s="107"/>
      <x:c r="K124" s="110" t="str">
        <x:f>IF(A124="","",IFERROR(VLOOKUP(C124,'Cấu hình'!$A$12:$D$19,2,FALSE),0))</x:f>
      </x:c>
      <x:c r="L124" s="92"/>
      <x:c r="M124" s="92"/>
      <x:c r="N124" s="95"/>
      <x:c r="O124" s="101"/>
      <x:c r="P124" s="101"/>
      <x:c r="Q124" s="101"/>
      <x:c r="R124" s="104" t="str">
        <x:f>IF(OR(P124="",D124=""),"",P124+IFERROR(VLOOKUP(D124,'Cấu hình'!$E$12:$G$15,3,FALSE),0))</x:f>
      </x:c>
      <x:c r="S124" s="101"/>
      <x:c r="T124" s="107"/>
      <x:c r="U124" s="113" t="str">
        <x:f>IF(A124="","",IF(S124&lt;&gt;"",0,IF(I124&lt;&gt;"",I124-TODAY(),IF(R124&lt;&gt;"",R124-TODAY(),""))))</x:f>
      </x:c>
      <x:c r="V124" s="113" t="str">
        <x:f>IF(A124="","",IF(S124&lt;&gt;"",MAX(0,S124-IF(I124&lt;&gt;"",I124,R124)),IF(OR(I124&lt;&gt;"",R124&lt;&gt;""),MAX(0,TODAY()-IF(I124&lt;&gt;"",I124,R124)),0)))</x:f>
      </x:c>
      <x:c r="W124" s="95"/>
      <x:c r="X124" s="95"/>
      <x:c r="Y124" s="92"/>
      <x:c r="Z124" s="92"/>
      <x:c r="AA124" s="92"/>
      <x:c r="AB124" s="92"/>
      <x:c r="AC124" s="113" t="str">
        <x:f>IF(A124="","",IF(P124="","",IF(S124&lt;&gt;"",S124-P124,TODAY()-P124)))</x:f>
      </x:c>
    </x:row>
    <x:row r="125" ht="28" customHeight="1">
      <x:c r="A125" s="92"/>
      <x:c r="B125" s="95"/>
      <x:c r="C125" s="92"/>
      <x:c r="D125" s="92"/>
      <x:c r="E125" s="92"/>
      <x:c r="F125" s="92"/>
      <x:c r="G125" s="92"/>
      <x:c r="H125" s="92"/>
      <x:c r="I125" s="101"/>
      <x:c r="J125" s="107"/>
      <x:c r="K125" s="110" t="str">
        <x:f>IF(A125="","",IFERROR(VLOOKUP(C125,'Cấu hình'!$A$12:$D$19,2,FALSE),0))</x:f>
      </x:c>
      <x:c r="L125" s="92"/>
      <x:c r="M125" s="92"/>
      <x:c r="N125" s="95"/>
      <x:c r="O125" s="101"/>
      <x:c r="P125" s="101"/>
      <x:c r="Q125" s="101"/>
      <x:c r="R125" s="104" t="str">
        <x:f>IF(OR(P125="",D125=""),"",P125+IFERROR(VLOOKUP(D125,'Cấu hình'!$E$12:$G$15,3,FALSE),0))</x:f>
      </x:c>
      <x:c r="S125" s="101"/>
      <x:c r="T125" s="107"/>
      <x:c r="U125" s="113" t="str">
        <x:f>IF(A125="","",IF(S125&lt;&gt;"",0,IF(I125&lt;&gt;"",I125-TODAY(),IF(R125&lt;&gt;"",R125-TODAY(),""))))</x:f>
      </x:c>
      <x:c r="V125" s="113" t="str">
        <x:f>IF(A125="","",IF(S125&lt;&gt;"",MAX(0,S125-IF(I125&lt;&gt;"",I125,R125)),IF(OR(I125&lt;&gt;"",R125&lt;&gt;""),MAX(0,TODAY()-IF(I125&lt;&gt;"",I125,R125)),0)))</x:f>
      </x:c>
      <x:c r="W125" s="95"/>
      <x:c r="X125" s="95"/>
      <x:c r="Y125" s="92"/>
      <x:c r="Z125" s="92"/>
      <x:c r="AA125" s="92"/>
      <x:c r="AB125" s="92"/>
      <x:c r="AC125" s="113" t="str">
        <x:f>IF(A125="","",IF(P125="","",IF(S125&lt;&gt;"",S125-P125,TODAY()-P125)))</x:f>
      </x:c>
    </x:row>
    <x:row r="126" ht="28" customHeight="1">
      <x:c r="A126" s="92"/>
      <x:c r="B126" s="95"/>
      <x:c r="C126" s="92"/>
      <x:c r="D126" s="92"/>
      <x:c r="E126" s="92"/>
      <x:c r="F126" s="92"/>
      <x:c r="G126" s="92"/>
      <x:c r="H126" s="92"/>
      <x:c r="I126" s="101"/>
      <x:c r="J126" s="107"/>
      <x:c r="K126" s="110" t="str">
        <x:f>IF(A126="","",IFERROR(VLOOKUP(C126,'Cấu hình'!$A$12:$D$19,2,FALSE),0))</x:f>
      </x:c>
      <x:c r="L126" s="92"/>
      <x:c r="M126" s="92"/>
      <x:c r="N126" s="95"/>
      <x:c r="O126" s="101"/>
      <x:c r="P126" s="101"/>
      <x:c r="Q126" s="101"/>
      <x:c r="R126" s="104" t="str">
        <x:f>IF(OR(P126="",D126=""),"",P126+IFERROR(VLOOKUP(D126,'Cấu hình'!$E$12:$G$15,3,FALSE),0))</x:f>
      </x:c>
      <x:c r="S126" s="101"/>
      <x:c r="T126" s="107"/>
      <x:c r="U126" s="113" t="str">
        <x:f>IF(A126="","",IF(S126&lt;&gt;"",0,IF(I126&lt;&gt;"",I126-TODAY(),IF(R126&lt;&gt;"",R126-TODAY(),""))))</x:f>
      </x:c>
      <x:c r="V126" s="113" t="str">
        <x:f>IF(A126="","",IF(S126&lt;&gt;"",MAX(0,S126-IF(I126&lt;&gt;"",I126,R126)),IF(OR(I126&lt;&gt;"",R126&lt;&gt;""),MAX(0,TODAY()-IF(I126&lt;&gt;"",I126,R126)),0)))</x:f>
      </x:c>
      <x:c r="W126" s="95"/>
      <x:c r="X126" s="95"/>
      <x:c r="Y126" s="92"/>
      <x:c r="Z126" s="92"/>
      <x:c r="AA126" s="92"/>
      <x:c r="AB126" s="92"/>
      <x:c r="AC126" s="113" t="str">
        <x:f>IF(A126="","",IF(P126="","",IF(S126&lt;&gt;"",S126-P126,TODAY()-P126)))</x:f>
      </x:c>
    </x:row>
    <x:row r="127" ht="28" customHeight="1">
      <x:c r="A127" s="92"/>
      <x:c r="B127" s="95"/>
      <x:c r="C127" s="92"/>
      <x:c r="D127" s="92"/>
      <x:c r="E127" s="92"/>
      <x:c r="F127" s="92"/>
      <x:c r="G127" s="92"/>
      <x:c r="H127" s="92"/>
      <x:c r="I127" s="101"/>
      <x:c r="J127" s="107"/>
      <x:c r="K127" s="110" t="str">
        <x:f>IF(A127="","",IFERROR(VLOOKUP(C127,'Cấu hình'!$A$12:$D$19,2,FALSE),0))</x:f>
      </x:c>
      <x:c r="L127" s="92"/>
      <x:c r="M127" s="92"/>
      <x:c r="N127" s="95"/>
      <x:c r="O127" s="101"/>
      <x:c r="P127" s="101"/>
      <x:c r="Q127" s="101"/>
      <x:c r="R127" s="104" t="str">
        <x:f>IF(OR(P127="",D127=""),"",P127+IFERROR(VLOOKUP(D127,'Cấu hình'!$E$12:$G$15,3,FALSE),0))</x:f>
      </x:c>
      <x:c r="S127" s="101"/>
      <x:c r="T127" s="107"/>
      <x:c r="U127" s="113" t="str">
        <x:f>IF(A127="","",IF(S127&lt;&gt;"",0,IF(I127&lt;&gt;"",I127-TODAY(),IF(R127&lt;&gt;"",R127-TODAY(),""))))</x:f>
      </x:c>
      <x:c r="V127" s="113" t="str">
        <x:f>IF(A127="","",IF(S127&lt;&gt;"",MAX(0,S127-IF(I127&lt;&gt;"",I127,R127)),IF(OR(I127&lt;&gt;"",R127&lt;&gt;""),MAX(0,TODAY()-IF(I127&lt;&gt;"",I127,R127)),0)))</x:f>
      </x:c>
      <x:c r="W127" s="95"/>
      <x:c r="X127" s="95"/>
      <x:c r="Y127" s="92"/>
      <x:c r="Z127" s="92"/>
      <x:c r="AA127" s="92"/>
      <x:c r="AB127" s="92"/>
      <x:c r="AC127" s="113" t="str">
        <x:f>IF(A127="","",IF(P127="","",IF(S127&lt;&gt;"",S127-P127,TODAY()-P127)))</x:f>
      </x:c>
    </x:row>
    <x:row r="128" ht="28" customHeight="1">
      <x:c r="A128" s="92"/>
      <x:c r="B128" s="95"/>
      <x:c r="C128" s="92"/>
      <x:c r="D128" s="92"/>
      <x:c r="E128" s="92"/>
      <x:c r="F128" s="92"/>
      <x:c r="G128" s="92"/>
      <x:c r="H128" s="92"/>
      <x:c r="I128" s="101"/>
      <x:c r="J128" s="107"/>
      <x:c r="K128" s="110" t="str">
        <x:f>IF(A128="","",IFERROR(VLOOKUP(C128,'Cấu hình'!$A$12:$D$19,2,FALSE),0))</x:f>
      </x:c>
      <x:c r="L128" s="92"/>
      <x:c r="M128" s="92"/>
      <x:c r="N128" s="95"/>
      <x:c r="O128" s="101"/>
      <x:c r="P128" s="101"/>
      <x:c r="Q128" s="101"/>
      <x:c r="R128" s="104" t="str">
        <x:f>IF(OR(P128="",D128=""),"",P128+IFERROR(VLOOKUP(D128,'Cấu hình'!$E$12:$G$15,3,FALSE),0))</x:f>
      </x:c>
      <x:c r="S128" s="101"/>
      <x:c r="T128" s="107"/>
      <x:c r="U128" s="113" t="str">
        <x:f>IF(A128="","",IF(S128&lt;&gt;"",0,IF(I128&lt;&gt;"",I128-TODAY(),IF(R128&lt;&gt;"",R128-TODAY(),""))))</x:f>
      </x:c>
      <x:c r="V128" s="113" t="str">
        <x:f>IF(A128="","",IF(S128&lt;&gt;"",MAX(0,S128-IF(I128&lt;&gt;"",I128,R128)),IF(OR(I128&lt;&gt;"",R128&lt;&gt;""),MAX(0,TODAY()-IF(I128&lt;&gt;"",I128,R128)),0)))</x:f>
      </x:c>
      <x:c r="W128" s="95"/>
      <x:c r="X128" s="95"/>
      <x:c r="Y128" s="92"/>
      <x:c r="Z128" s="92"/>
      <x:c r="AA128" s="92"/>
      <x:c r="AB128" s="92"/>
      <x:c r="AC128" s="113" t="str">
        <x:f>IF(A128="","",IF(P128="","",IF(S128&lt;&gt;"",S128-P128,TODAY()-P128)))</x:f>
      </x:c>
    </x:row>
    <x:row r="129" ht="28" customHeight="1">
      <x:c r="A129" s="92"/>
      <x:c r="B129" s="95"/>
      <x:c r="C129" s="92"/>
      <x:c r="D129" s="92"/>
      <x:c r="E129" s="92"/>
      <x:c r="F129" s="92"/>
      <x:c r="G129" s="92"/>
      <x:c r="H129" s="92"/>
      <x:c r="I129" s="101"/>
      <x:c r="J129" s="107"/>
      <x:c r="K129" s="110" t="str">
        <x:f>IF(A129="","",IFERROR(VLOOKUP(C129,'Cấu hình'!$A$12:$D$19,2,FALSE),0))</x:f>
      </x:c>
      <x:c r="L129" s="92"/>
      <x:c r="M129" s="92"/>
      <x:c r="N129" s="95"/>
      <x:c r="O129" s="101"/>
      <x:c r="P129" s="101"/>
      <x:c r="Q129" s="101"/>
      <x:c r="R129" s="104" t="str">
        <x:f>IF(OR(P129="",D129=""),"",P129+IFERROR(VLOOKUP(D129,'Cấu hình'!$E$12:$G$15,3,FALSE),0))</x:f>
      </x:c>
      <x:c r="S129" s="101"/>
      <x:c r="T129" s="107"/>
      <x:c r="U129" s="113" t="str">
        <x:f>IF(A129="","",IF(S129&lt;&gt;"",0,IF(I129&lt;&gt;"",I129-TODAY(),IF(R129&lt;&gt;"",R129-TODAY(),""))))</x:f>
      </x:c>
      <x:c r="V129" s="113" t="str">
        <x:f>IF(A129="","",IF(S129&lt;&gt;"",MAX(0,S129-IF(I129&lt;&gt;"",I129,R129)),IF(OR(I129&lt;&gt;"",R129&lt;&gt;""),MAX(0,TODAY()-IF(I129&lt;&gt;"",I129,R129)),0)))</x:f>
      </x:c>
      <x:c r="W129" s="95"/>
      <x:c r="X129" s="95"/>
      <x:c r="Y129" s="92"/>
      <x:c r="Z129" s="92"/>
      <x:c r="AA129" s="92"/>
      <x:c r="AB129" s="92"/>
      <x:c r="AC129" s="113" t="str">
        <x:f>IF(A129="","",IF(P129="","",IF(S129&lt;&gt;"",S129-P129,TODAY()-P129)))</x:f>
      </x:c>
    </x:row>
    <x:row r="130" ht="28" customHeight="1">
      <x:c r="A130" s="92"/>
      <x:c r="B130" s="95"/>
      <x:c r="C130" s="92"/>
      <x:c r="D130" s="92"/>
      <x:c r="E130" s="92"/>
      <x:c r="F130" s="92"/>
      <x:c r="G130" s="92"/>
      <x:c r="H130" s="92"/>
      <x:c r="I130" s="101"/>
      <x:c r="J130" s="107"/>
      <x:c r="K130" s="110" t="str">
        <x:f>IF(A130="","",IFERROR(VLOOKUP(C130,'Cấu hình'!$A$12:$D$19,2,FALSE),0))</x:f>
      </x:c>
      <x:c r="L130" s="92"/>
      <x:c r="M130" s="92"/>
      <x:c r="N130" s="95"/>
      <x:c r="O130" s="101"/>
      <x:c r="P130" s="101"/>
      <x:c r="Q130" s="101"/>
      <x:c r="R130" s="104" t="str">
        <x:f>IF(OR(P130="",D130=""),"",P130+IFERROR(VLOOKUP(D130,'Cấu hình'!$E$12:$G$15,3,FALSE),0))</x:f>
      </x:c>
      <x:c r="S130" s="101"/>
      <x:c r="T130" s="107"/>
      <x:c r="U130" s="113" t="str">
        <x:f>IF(A130="","",IF(S130&lt;&gt;"",0,IF(I130&lt;&gt;"",I130-TODAY(),IF(R130&lt;&gt;"",R130-TODAY(),""))))</x:f>
      </x:c>
      <x:c r="V130" s="113" t="str">
        <x:f>IF(A130="","",IF(S130&lt;&gt;"",MAX(0,S130-IF(I130&lt;&gt;"",I130,R130)),IF(OR(I130&lt;&gt;"",R130&lt;&gt;""),MAX(0,TODAY()-IF(I130&lt;&gt;"",I130,R130)),0)))</x:f>
      </x:c>
      <x:c r="W130" s="95"/>
      <x:c r="X130" s="95"/>
      <x:c r="Y130" s="92"/>
      <x:c r="Z130" s="92"/>
      <x:c r="AA130" s="92"/>
      <x:c r="AB130" s="92"/>
      <x:c r="AC130" s="113" t="str">
        <x:f>IF(A130="","",IF(P130="","",IF(S130&lt;&gt;"",S130-P130,TODAY()-P130)))</x:f>
      </x:c>
    </x:row>
    <x:row r="131" ht="28" customHeight="1">
      <x:c r="A131" s="92"/>
      <x:c r="B131" s="95"/>
      <x:c r="C131" s="92"/>
      <x:c r="D131" s="92"/>
      <x:c r="E131" s="92"/>
      <x:c r="F131" s="92"/>
      <x:c r="G131" s="92"/>
      <x:c r="H131" s="92"/>
      <x:c r="I131" s="101"/>
      <x:c r="J131" s="107"/>
      <x:c r="K131" s="110" t="str">
        <x:f>IF(A131="","",IFERROR(VLOOKUP(C131,'Cấu hình'!$A$12:$D$19,2,FALSE),0))</x:f>
      </x:c>
      <x:c r="L131" s="92"/>
      <x:c r="M131" s="92"/>
      <x:c r="N131" s="95"/>
      <x:c r="O131" s="101"/>
      <x:c r="P131" s="101"/>
      <x:c r="Q131" s="101"/>
      <x:c r="R131" s="104" t="str">
        <x:f>IF(OR(P131="",D131=""),"",P131+IFERROR(VLOOKUP(D131,'Cấu hình'!$E$12:$G$15,3,FALSE),0))</x:f>
      </x:c>
      <x:c r="S131" s="101"/>
      <x:c r="T131" s="107"/>
      <x:c r="U131" s="113" t="str">
        <x:f>IF(A131="","",IF(S131&lt;&gt;"",0,IF(I131&lt;&gt;"",I131-TODAY(),IF(R131&lt;&gt;"",R131-TODAY(),""))))</x:f>
      </x:c>
      <x:c r="V131" s="113" t="str">
        <x:f>IF(A131="","",IF(S131&lt;&gt;"",MAX(0,S131-IF(I131&lt;&gt;"",I131,R131)),IF(OR(I131&lt;&gt;"",R131&lt;&gt;""),MAX(0,TODAY()-IF(I131&lt;&gt;"",I131,R131)),0)))</x:f>
      </x:c>
      <x:c r="W131" s="95"/>
      <x:c r="X131" s="95"/>
      <x:c r="Y131" s="92"/>
      <x:c r="Z131" s="92"/>
      <x:c r="AA131" s="92"/>
      <x:c r="AB131" s="92"/>
      <x:c r="AC131" s="113" t="str">
        <x:f>IF(A131="","",IF(P131="","",IF(S131&lt;&gt;"",S131-P131,TODAY()-P131)))</x:f>
      </x:c>
    </x:row>
    <x:row r="132" ht="28" customHeight="1">
      <x:c r="A132" s="92"/>
      <x:c r="B132" s="95"/>
      <x:c r="C132" s="92"/>
      <x:c r="D132" s="92"/>
      <x:c r="E132" s="92"/>
      <x:c r="F132" s="92"/>
      <x:c r="G132" s="92"/>
      <x:c r="H132" s="92"/>
      <x:c r="I132" s="101"/>
      <x:c r="J132" s="107"/>
      <x:c r="K132" s="110" t="str">
        <x:f>IF(A132="","",IFERROR(VLOOKUP(C132,'Cấu hình'!$A$12:$D$19,2,FALSE),0))</x:f>
      </x:c>
      <x:c r="L132" s="92"/>
      <x:c r="M132" s="92"/>
      <x:c r="N132" s="95"/>
      <x:c r="O132" s="101"/>
      <x:c r="P132" s="101"/>
      <x:c r="Q132" s="101"/>
      <x:c r="R132" s="104" t="str">
        <x:f>IF(OR(P132="",D132=""),"",P132+IFERROR(VLOOKUP(D132,'Cấu hình'!$E$12:$G$15,3,FALSE),0))</x:f>
      </x:c>
      <x:c r="S132" s="101"/>
      <x:c r="T132" s="107"/>
      <x:c r="U132" s="113" t="str">
        <x:f>IF(A132="","",IF(S132&lt;&gt;"",0,IF(I132&lt;&gt;"",I132-TODAY(),IF(R132&lt;&gt;"",R132-TODAY(),""))))</x:f>
      </x:c>
      <x:c r="V132" s="113" t="str">
        <x:f>IF(A132="","",IF(S132&lt;&gt;"",MAX(0,S132-IF(I132&lt;&gt;"",I132,R132)),IF(OR(I132&lt;&gt;"",R132&lt;&gt;""),MAX(0,TODAY()-IF(I132&lt;&gt;"",I132,R132)),0)))</x:f>
      </x:c>
      <x:c r="W132" s="95"/>
      <x:c r="X132" s="95"/>
      <x:c r="Y132" s="92"/>
      <x:c r="Z132" s="92"/>
      <x:c r="AA132" s="92"/>
      <x:c r="AB132" s="92"/>
      <x:c r="AC132" s="113" t="str">
        <x:f>IF(A132="","",IF(P132="","",IF(S132&lt;&gt;"",S132-P132,TODAY()-P132)))</x:f>
      </x:c>
    </x:row>
    <x:row r="133" ht="28" customHeight="1">
      <x:c r="A133" s="92"/>
      <x:c r="B133" s="95"/>
      <x:c r="C133" s="92"/>
      <x:c r="D133" s="92"/>
      <x:c r="E133" s="92"/>
      <x:c r="F133" s="92"/>
      <x:c r="G133" s="92"/>
      <x:c r="H133" s="92"/>
      <x:c r="I133" s="101"/>
      <x:c r="J133" s="107"/>
      <x:c r="K133" s="110" t="str">
        <x:f>IF(A133="","",IFERROR(VLOOKUP(C133,'Cấu hình'!$A$12:$D$19,2,FALSE),0))</x:f>
      </x:c>
      <x:c r="L133" s="92"/>
      <x:c r="M133" s="92"/>
      <x:c r="N133" s="95"/>
      <x:c r="O133" s="101"/>
      <x:c r="P133" s="101"/>
      <x:c r="Q133" s="101"/>
      <x:c r="R133" s="104" t="str">
        <x:f>IF(OR(P133="",D133=""),"",P133+IFERROR(VLOOKUP(D133,'Cấu hình'!$E$12:$G$15,3,FALSE),0))</x:f>
      </x:c>
      <x:c r="S133" s="101"/>
      <x:c r="T133" s="107"/>
      <x:c r="U133" s="113" t="str">
        <x:f>IF(A133="","",IF(S133&lt;&gt;"",0,IF(I133&lt;&gt;"",I133-TODAY(),IF(R133&lt;&gt;"",R133-TODAY(),""))))</x:f>
      </x:c>
      <x:c r="V133" s="113" t="str">
        <x:f>IF(A133="","",IF(S133&lt;&gt;"",MAX(0,S133-IF(I133&lt;&gt;"",I133,R133)),IF(OR(I133&lt;&gt;"",R133&lt;&gt;""),MAX(0,TODAY()-IF(I133&lt;&gt;"",I133,R133)),0)))</x:f>
      </x:c>
      <x:c r="W133" s="95"/>
      <x:c r="X133" s="95"/>
      <x:c r="Y133" s="92"/>
      <x:c r="Z133" s="92"/>
      <x:c r="AA133" s="92"/>
      <x:c r="AB133" s="92"/>
      <x:c r="AC133" s="113" t="str">
        <x:f>IF(A133="","",IF(P133="","",IF(S133&lt;&gt;"",S133-P133,TODAY()-P133)))</x:f>
      </x:c>
    </x:row>
    <x:row r="134" ht="28" customHeight="1">
      <x:c r="A134" s="92"/>
      <x:c r="B134" s="95"/>
      <x:c r="C134" s="92"/>
      <x:c r="D134" s="92"/>
      <x:c r="E134" s="92"/>
      <x:c r="F134" s="92"/>
      <x:c r="G134" s="92"/>
      <x:c r="H134" s="92"/>
      <x:c r="I134" s="101"/>
      <x:c r="J134" s="107"/>
      <x:c r="K134" s="110" t="str">
        <x:f>IF(A134="","",IFERROR(VLOOKUP(C134,'Cấu hình'!$A$12:$D$19,2,FALSE),0))</x:f>
      </x:c>
      <x:c r="L134" s="92"/>
      <x:c r="M134" s="92"/>
      <x:c r="N134" s="95"/>
      <x:c r="O134" s="101"/>
      <x:c r="P134" s="101"/>
      <x:c r="Q134" s="101"/>
      <x:c r="R134" s="104" t="str">
        <x:f>IF(OR(P134="",D134=""),"",P134+IFERROR(VLOOKUP(D134,'Cấu hình'!$E$12:$G$15,3,FALSE),0))</x:f>
      </x:c>
      <x:c r="S134" s="101"/>
      <x:c r="T134" s="107"/>
      <x:c r="U134" s="113" t="str">
        <x:f>IF(A134="","",IF(S134&lt;&gt;"",0,IF(I134&lt;&gt;"",I134-TODAY(),IF(R134&lt;&gt;"",R134-TODAY(),""))))</x:f>
      </x:c>
      <x:c r="V134" s="113" t="str">
        <x:f>IF(A134="","",IF(S134&lt;&gt;"",MAX(0,S134-IF(I134&lt;&gt;"",I134,R134)),IF(OR(I134&lt;&gt;"",R134&lt;&gt;""),MAX(0,TODAY()-IF(I134&lt;&gt;"",I134,R134)),0)))</x:f>
      </x:c>
      <x:c r="W134" s="95"/>
      <x:c r="X134" s="95"/>
      <x:c r="Y134" s="92"/>
      <x:c r="Z134" s="92"/>
      <x:c r="AA134" s="92"/>
      <x:c r="AB134" s="92"/>
      <x:c r="AC134" s="113" t="str">
        <x:f>IF(A134="","",IF(P134="","",IF(S134&lt;&gt;"",S134-P134,TODAY()-P134)))</x:f>
      </x:c>
    </x:row>
    <x:row r="135" ht="28" customHeight="1">
      <x:c r="A135" s="92"/>
      <x:c r="B135" s="95"/>
      <x:c r="C135" s="92"/>
      <x:c r="D135" s="92"/>
      <x:c r="E135" s="92"/>
      <x:c r="F135" s="92"/>
      <x:c r="G135" s="92"/>
      <x:c r="H135" s="92"/>
      <x:c r="I135" s="101"/>
      <x:c r="J135" s="107"/>
      <x:c r="K135" s="110" t="str">
        <x:f>IF(A135="","",IFERROR(VLOOKUP(C135,'Cấu hình'!$A$12:$D$19,2,FALSE),0))</x:f>
      </x:c>
      <x:c r="L135" s="92"/>
      <x:c r="M135" s="92"/>
      <x:c r="N135" s="95"/>
      <x:c r="O135" s="101"/>
      <x:c r="P135" s="101"/>
      <x:c r="Q135" s="101"/>
      <x:c r="R135" s="104" t="str">
        <x:f>IF(OR(P135="",D135=""),"",P135+IFERROR(VLOOKUP(D135,'Cấu hình'!$E$12:$G$15,3,FALSE),0))</x:f>
      </x:c>
      <x:c r="S135" s="101"/>
      <x:c r="T135" s="107"/>
      <x:c r="U135" s="113" t="str">
        <x:f>IF(A135="","",IF(S135&lt;&gt;"",0,IF(I135&lt;&gt;"",I135-TODAY(),IF(R135&lt;&gt;"",R135-TODAY(),""))))</x:f>
      </x:c>
      <x:c r="V135" s="113" t="str">
        <x:f>IF(A135="","",IF(S135&lt;&gt;"",MAX(0,S135-IF(I135&lt;&gt;"",I135,R135)),IF(OR(I135&lt;&gt;"",R135&lt;&gt;""),MAX(0,TODAY()-IF(I135&lt;&gt;"",I135,R135)),0)))</x:f>
      </x:c>
      <x:c r="W135" s="95"/>
      <x:c r="X135" s="95"/>
      <x:c r="Y135" s="92"/>
      <x:c r="Z135" s="92"/>
      <x:c r="AA135" s="92"/>
      <x:c r="AB135" s="92"/>
      <x:c r="AC135" s="113" t="str">
        <x:f>IF(A135="","",IF(P135="","",IF(S135&lt;&gt;"",S135-P135,TODAY()-P135)))</x:f>
      </x:c>
    </x:row>
    <x:row r="136" ht="28" customHeight="1">
      <x:c r="A136" s="92"/>
      <x:c r="B136" s="95"/>
      <x:c r="C136" s="92"/>
      <x:c r="D136" s="92"/>
      <x:c r="E136" s="92"/>
      <x:c r="F136" s="92"/>
      <x:c r="G136" s="92"/>
      <x:c r="H136" s="92"/>
      <x:c r="I136" s="101"/>
      <x:c r="J136" s="107"/>
      <x:c r="K136" s="110" t="str">
        <x:f>IF(A136="","",IFERROR(VLOOKUP(C136,'Cấu hình'!$A$12:$D$19,2,FALSE),0))</x:f>
      </x:c>
      <x:c r="L136" s="92"/>
      <x:c r="M136" s="92"/>
      <x:c r="N136" s="95"/>
      <x:c r="O136" s="101"/>
      <x:c r="P136" s="101"/>
      <x:c r="Q136" s="101"/>
      <x:c r="R136" s="104" t="str">
        <x:f>IF(OR(P136="",D136=""),"",P136+IFERROR(VLOOKUP(D136,'Cấu hình'!$E$12:$G$15,3,FALSE),0))</x:f>
      </x:c>
      <x:c r="S136" s="101"/>
      <x:c r="T136" s="107"/>
      <x:c r="U136" s="113" t="str">
        <x:f>IF(A136="","",IF(S136&lt;&gt;"",0,IF(I136&lt;&gt;"",I136-TODAY(),IF(R136&lt;&gt;"",R136-TODAY(),""))))</x:f>
      </x:c>
      <x:c r="V136" s="113" t="str">
        <x:f>IF(A136="","",IF(S136&lt;&gt;"",MAX(0,S136-IF(I136&lt;&gt;"",I136,R136)),IF(OR(I136&lt;&gt;"",R136&lt;&gt;""),MAX(0,TODAY()-IF(I136&lt;&gt;"",I136,R136)),0)))</x:f>
      </x:c>
      <x:c r="W136" s="95"/>
      <x:c r="X136" s="95"/>
      <x:c r="Y136" s="92"/>
      <x:c r="Z136" s="92"/>
      <x:c r="AA136" s="92"/>
      <x:c r="AB136" s="92"/>
      <x:c r="AC136" s="113" t="str">
        <x:f>IF(A136="","",IF(P136="","",IF(S136&lt;&gt;"",S136-P136,TODAY()-P136)))</x:f>
      </x:c>
    </x:row>
    <x:row r="137" ht="28" customHeight="1">
      <x:c r="A137" s="92"/>
      <x:c r="B137" s="95"/>
      <x:c r="C137" s="92"/>
      <x:c r="D137" s="92"/>
      <x:c r="E137" s="92"/>
      <x:c r="F137" s="92"/>
      <x:c r="G137" s="92"/>
      <x:c r="H137" s="92"/>
      <x:c r="I137" s="101"/>
      <x:c r="J137" s="107"/>
      <x:c r="K137" s="110" t="str">
        <x:f>IF(A137="","",IFERROR(VLOOKUP(C137,'Cấu hình'!$A$12:$D$19,2,FALSE),0))</x:f>
      </x:c>
      <x:c r="L137" s="92"/>
      <x:c r="M137" s="92"/>
      <x:c r="N137" s="95"/>
      <x:c r="O137" s="101"/>
      <x:c r="P137" s="101"/>
      <x:c r="Q137" s="101"/>
      <x:c r="R137" s="104" t="str">
        <x:f>IF(OR(P137="",D137=""),"",P137+IFERROR(VLOOKUP(D137,'Cấu hình'!$E$12:$G$15,3,FALSE),0))</x:f>
      </x:c>
      <x:c r="S137" s="101"/>
      <x:c r="T137" s="107"/>
      <x:c r="U137" s="113" t="str">
        <x:f>IF(A137="","",IF(S137&lt;&gt;"",0,IF(I137&lt;&gt;"",I137-TODAY(),IF(R137&lt;&gt;"",R137-TODAY(),""))))</x:f>
      </x:c>
      <x:c r="V137" s="113" t="str">
        <x:f>IF(A137="","",IF(S137&lt;&gt;"",MAX(0,S137-IF(I137&lt;&gt;"",I137,R137)),IF(OR(I137&lt;&gt;"",R137&lt;&gt;""),MAX(0,TODAY()-IF(I137&lt;&gt;"",I137,R137)),0)))</x:f>
      </x:c>
      <x:c r="W137" s="95"/>
      <x:c r="X137" s="95"/>
      <x:c r="Y137" s="92"/>
      <x:c r="Z137" s="92"/>
      <x:c r="AA137" s="92"/>
      <x:c r="AB137" s="92"/>
      <x:c r="AC137" s="113" t="str">
        <x:f>IF(A137="","",IF(P137="","",IF(S137&lt;&gt;"",S137-P137,TODAY()-P137)))</x:f>
      </x:c>
    </x:row>
    <x:row r="138" ht="28" customHeight="1">
      <x:c r="A138" s="92"/>
      <x:c r="B138" s="95"/>
      <x:c r="C138" s="92"/>
      <x:c r="D138" s="92"/>
      <x:c r="E138" s="92"/>
      <x:c r="F138" s="92"/>
      <x:c r="G138" s="92"/>
      <x:c r="H138" s="92"/>
      <x:c r="I138" s="101"/>
      <x:c r="J138" s="107"/>
      <x:c r="K138" s="110" t="str">
        <x:f>IF(A138="","",IFERROR(VLOOKUP(C138,'Cấu hình'!$A$12:$D$19,2,FALSE),0))</x:f>
      </x:c>
      <x:c r="L138" s="92"/>
      <x:c r="M138" s="92"/>
      <x:c r="N138" s="95"/>
      <x:c r="O138" s="101"/>
      <x:c r="P138" s="101"/>
      <x:c r="Q138" s="101"/>
      <x:c r="R138" s="104" t="str">
        <x:f>IF(OR(P138="",D138=""),"",P138+IFERROR(VLOOKUP(D138,'Cấu hình'!$E$12:$G$15,3,FALSE),0))</x:f>
      </x:c>
      <x:c r="S138" s="101"/>
      <x:c r="T138" s="107"/>
      <x:c r="U138" s="113" t="str">
        <x:f>IF(A138="","",IF(S138&lt;&gt;"",0,IF(I138&lt;&gt;"",I138-TODAY(),IF(R138&lt;&gt;"",R138-TODAY(),""))))</x:f>
      </x:c>
      <x:c r="V138" s="113" t="str">
        <x:f>IF(A138="","",IF(S138&lt;&gt;"",MAX(0,S138-IF(I138&lt;&gt;"",I138,R138)),IF(OR(I138&lt;&gt;"",R138&lt;&gt;""),MAX(0,TODAY()-IF(I138&lt;&gt;"",I138,R138)),0)))</x:f>
      </x:c>
      <x:c r="W138" s="95"/>
      <x:c r="X138" s="95"/>
      <x:c r="Y138" s="92"/>
      <x:c r="Z138" s="92"/>
      <x:c r="AA138" s="92"/>
      <x:c r="AB138" s="92"/>
      <x:c r="AC138" s="113" t="str">
        <x:f>IF(A138="","",IF(P138="","",IF(S138&lt;&gt;"",S138-P138,TODAY()-P138)))</x:f>
      </x:c>
    </x:row>
    <x:row r="139" ht="28" customHeight="1">
      <x:c r="A139" s="92"/>
      <x:c r="B139" s="95"/>
      <x:c r="C139" s="92"/>
      <x:c r="D139" s="92"/>
      <x:c r="E139" s="92"/>
      <x:c r="F139" s="92"/>
      <x:c r="G139" s="92"/>
      <x:c r="H139" s="92"/>
      <x:c r="I139" s="101"/>
      <x:c r="J139" s="107"/>
      <x:c r="K139" s="110" t="str">
        <x:f>IF(A139="","",IFERROR(VLOOKUP(C139,'Cấu hình'!$A$12:$D$19,2,FALSE),0))</x:f>
      </x:c>
      <x:c r="L139" s="92"/>
      <x:c r="M139" s="92"/>
      <x:c r="N139" s="95"/>
      <x:c r="O139" s="101"/>
      <x:c r="P139" s="101"/>
      <x:c r="Q139" s="101"/>
      <x:c r="R139" s="104" t="str">
        <x:f>IF(OR(P139="",D139=""),"",P139+IFERROR(VLOOKUP(D139,'Cấu hình'!$E$12:$G$15,3,FALSE),0))</x:f>
      </x:c>
      <x:c r="S139" s="101"/>
      <x:c r="T139" s="107"/>
      <x:c r="U139" s="113" t="str">
        <x:f>IF(A139="","",IF(S139&lt;&gt;"",0,IF(I139&lt;&gt;"",I139-TODAY(),IF(R139&lt;&gt;"",R139-TODAY(),""))))</x:f>
      </x:c>
      <x:c r="V139" s="113" t="str">
        <x:f>IF(A139="","",IF(S139&lt;&gt;"",MAX(0,S139-IF(I139&lt;&gt;"",I139,R139)),IF(OR(I139&lt;&gt;"",R139&lt;&gt;""),MAX(0,TODAY()-IF(I139&lt;&gt;"",I139,R139)),0)))</x:f>
      </x:c>
      <x:c r="W139" s="95"/>
      <x:c r="X139" s="95"/>
      <x:c r="Y139" s="92"/>
      <x:c r="Z139" s="92"/>
      <x:c r="AA139" s="92"/>
      <x:c r="AB139" s="92"/>
      <x:c r="AC139" s="113" t="str">
        <x:f>IF(A139="","",IF(P139="","",IF(S139&lt;&gt;"",S139-P139,TODAY()-P139)))</x:f>
      </x:c>
    </x:row>
    <x:row r="140" ht="28" customHeight="1">
      <x:c r="A140" s="92"/>
      <x:c r="B140" s="95"/>
      <x:c r="C140" s="92"/>
      <x:c r="D140" s="92"/>
      <x:c r="E140" s="92"/>
      <x:c r="F140" s="92"/>
      <x:c r="G140" s="92"/>
      <x:c r="H140" s="92"/>
      <x:c r="I140" s="101"/>
      <x:c r="J140" s="107"/>
      <x:c r="K140" s="110" t="str">
        <x:f>IF(A140="","",IFERROR(VLOOKUP(C140,'Cấu hình'!$A$12:$D$19,2,FALSE),0))</x:f>
      </x:c>
      <x:c r="L140" s="92"/>
      <x:c r="M140" s="92"/>
      <x:c r="N140" s="95"/>
      <x:c r="O140" s="101"/>
      <x:c r="P140" s="101"/>
      <x:c r="Q140" s="101"/>
      <x:c r="R140" s="104" t="str">
        <x:f>IF(OR(P140="",D140=""),"",P140+IFERROR(VLOOKUP(D140,'Cấu hình'!$E$12:$G$15,3,FALSE),0))</x:f>
      </x:c>
      <x:c r="S140" s="101"/>
      <x:c r="T140" s="107"/>
      <x:c r="U140" s="113" t="str">
        <x:f>IF(A140="","",IF(S140&lt;&gt;"",0,IF(I140&lt;&gt;"",I140-TODAY(),IF(R140&lt;&gt;"",R140-TODAY(),""))))</x:f>
      </x:c>
      <x:c r="V140" s="113" t="str">
        <x:f>IF(A140="","",IF(S140&lt;&gt;"",MAX(0,S140-IF(I140&lt;&gt;"",I140,R140)),IF(OR(I140&lt;&gt;"",R140&lt;&gt;""),MAX(0,TODAY()-IF(I140&lt;&gt;"",I140,R140)),0)))</x:f>
      </x:c>
      <x:c r="W140" s="95"/>
      <x:c r="X140" s="95"/>
      <x:c r="Y140" s="92"/>
      <x:c r="Z140" s="92"/>
      <x:c r="AA140" s="92"/>
      <x:c r="AB140" s="92"/>
      <x:c r="AC140" s="113" t="str">
        <x:f>IF(A140="","",IF(P140="","",IF(S140&lt;&gt;"",S140-P140,TODAY()-P140)))</x:f>
      </x:c>
    </x:row>
    <x:row r="141" ht="28" customHeight="1">
      <x:c r="A141" s="92"/>
      <x:c r="B141" s="95"/>
      <x:c r="C141" s="92"/>
      <x:c r="D141" s="92"/>
      <x:c r="E141" s="92"/>
      <x:c r="F141" s="92"/>
      <x:c r="G141" s="92"/>
      <x:c r="H141" s="92"/>
      <x:c r="I141" s="101"/>
      <x:c r="J141" s="107"/>
      <x:c r="K141" s="110" t="str">
        <x:f>IF(A141="","",IFERROR(VLOOKUP(C141,'Cấu hình'!$A$12:$D$19,2,FALSE),0))</x:f>
      </x:c>
      <x:c r="L141" s="92"/>
      <x:c r="M141" s="92"/>
      <x:c r="N141" s="95"/>
      <x:c r="O141" s="101"/>
      <x:c r="P141" s="101"/>
      <x:c r="Q141" s="101"/>
      <x:c r="R141" s="104" t="str">
        <x:f>IF(OR(P141="",D141=""),"",P141+IFERROR(VLOOKUP(D141,'Cấu hình'!$E$12:$G$15,3,FALSE),0))</x:f>
      </x:c>
      <x:c r="S141" s="101"/>
      <x:c r="T141" s="107"/>
      <x:c r="U141" s="113" t="str">
        <x:f>IF(A141="","",IF(S141&lt;&gt;"",0,IF(I141&lt;&gt;"",I141-TODAY(),IF(R141&lt;&gt;"",R141-TODAY(),""))))</x:f>
      </x:c>
      <x:c r="V141" s="113" t="str">
        <x:f>IF(A141="","",IF(S141&lt;&gt;"",MAX(0,S141-IF(I141&lt;&gt;"",I141,R141)),IF(OR(I141&lt;&gt;"",R141&lt;&gt;""),MAX(0,TODAY()-IF(I141&lt;&gt;"",I141,R141)),0)))</x:f>
      </x:c>
      <x:c r="W141" s="95"/>
      <x:c r="X141" s="95"/>
      <x:c r="Y141" s="92"/>
      <x:c r="Z141" s="92"/>
      <x:c r="AA141" s="92"/>
      <x:c r="AB141" s="92"/>
      <x:c r="AC141" s="113" t="str">
        <x:f>IF(A141="","",IF(P141="","",IF(S141&lt;&gt;"",S141-P141,TODAY()-P141)))</x:f>
      </x:c>
    </x:row>
    <x:row r="142" ht="28" customHeight="1">
      <x:c r="A142" s="92"/>
      <x:c r="B142" s="95"/>
      <x:c r="C142" s="92"/>
      <x:c r="D142" s="92"/>
      <x:c r="E142" s="92"/>
      <x:c r="F142" s="92"/>
      <x:c r="G142" s="92"/>
      <x:c r="H142" s="92"/>
      <x:c r="I142" s="101"/>
      <x:c r="J142" s="107"/>
      <x:c r="K142" s="110" t="str">
        <x:f>IF(A142="","",IFERROR(VLOOKUP(C142,'Cấu hình'!$A$12:$D$19,2,FALSE),0))</x:f>
      </x:c>
      <x:c r="L142" s="92"/>
      <x:c r="M142" s="92"/>
      <x:c r="N142" s="95"/>
      <x:c r="O142" s="101"/>
      <x:c r="P142" s="101"/>
      <x:c r="Q142" s="101"/>
      <x:c r="R142" s="104" t="str">
        <x:f>IF(OR(P142="",D142=""),"",P142+IFERROR(VLOOKUP(D142,'Cấu hình'!$E$12:$G$15,3,FALSE),0))</x:f>
      </x:c>
      <x:c r="S142" s="101"/>
      <x:c r="T142" s="107"/>
      <x:c r="U142" s="113" t="str">
        <x:f>IF(A142="","",IF(S142&lt;&gt;"",0,IF(I142&lt;&gt;"",I142-TODAY(),IF(R142&lt;&gt;"",R142-TODAY(),""))))</x:f>
      </x:c>
      <x:c r="V142" s="113" t="str">
        <x:f>IF(A142="","",IF(S142&lt;&gt;"",MAX(0,S142-IF(I142&lt;&gt;"",I142,R142)),IF(OR(I142&lt;&gt;"",R142&lt;&gt;""),MAX(0,TODAY()-IF(I142&lt;&gt;"",I142,R142)),0)))</x:f>
      </x:c>
      <x:c r="W142" s="95"/>
      <x:c r="X142" s="95"/>
      <x:c r="Y142" s="92"/>
      <x:c r="Z142" s="92"/>
      <x:c r="AA142" s="92"/>
      <x:c r="AB142" s="92"/>
      <x:c r="AC142" s="113" t="str">
        <x:f>IF(A142="","",IF(P142="","",IF(S142&lt;&gt;"",S142-P142,TODAY()-P142)))</x:f>
      </x:c>
    </x:row>
    <x:row r="143" ht="28" customHeight="1">
      <x:c r="A143" s="92"/>
      <x:c r="B143" s="95"/>
      <x:c r="C143" s="92"/>
      <x:c r="D143" s="92"/>
      <x:c r="E143" s="92"/>
      <x:c r="F143" s="92"/>
      <x:c r="G143" s="92"/>
      <x:c r="H143" s="92"/>
      <x:c r="I143" s="101"/>
      <x:c r="J143" s="107"/>
      <x:c r="K143" s="110" t="str">
        <x:f>IF(A143="","",IFERROR(VLOOKUP(C143,'Cấu hình'!$A$12:$D$19,2,FALSE),0))</x:f>
      </x:c>
      <x:c r="L143" s="92"/>
      <x:c r="M143" s="92"/>
      <x:c r="N143" s="95"/>
      <x:c r="O143" s="101"/>
      <x:c r="P143" s="101"/>
      <x:c r="Q143" s="101"/>
      <x:c r="R143" s="104" t="str">
        <x:f>IF(OR(P143="",D143=""),"",P143+IFERROR(VLOOKUP(D143,'Cấu hình'!$E$12:$G$15,3,FALSE),0))</x:f>
      </x:c>
      <x:c r="S143" s="101"/>
      <x:c r="T143" s="107"/>
      <x:c r="U143" s="113" t="str">
        <x:f>IF(A143="","",IF(S143&lt;&gt;"",0,IF(I143&lt;&gt;"",I143-TODAY(),IF(R143&lt;&gt;"",R143-TODAY(),""))))</x:f>
      </x:c>
      <x:c r="V143" s="113" t="str">
        <x:f>IF(A143="","",IF(S143&lt;&gt;"",MAX(0,S143-IF(I143&lt;&gt;"",I143,R143)),IF(OR(I143&lt;&gt;"",R143&lt;&gt;""),MAX(0,TODAY()-IF(I143&lt;&gt;"",I143,R143)),0)))</x:f>
      </x:c>
      <x:c r="W143" s="95"/>
      <x:c r="X143" s="95"/>
      <x:c r="Y143" s="92"/>
      <x:c r="Z143" s="92"/>
      <x:c r="AA143" s="92"/>
      <x:c r="AB143" s="92"/>
      <x:c r="AC143" s="113" t="str">
        <x:f>IF(A143="","",IF(P143="","",IF(S143&lt;&gt;"",S143-P143,TODAY()-P143)))</x:f>
      </x:c>
    </x:row>
    <x:row r="144" ht="28" customHeight="1">
      <x:c r="A144" s="92"/>
      <x:c r="B144" s="95"/>
      <x:c r="C144" s="92"/>
      <x:c r="D144" s="92"/>
      <x:c r="E144" s="92"/>
      <x:c r="F144" s="92"/>
      <x:c r="G144" s="92"/>
      <x:c r="H144" s="92"/>
      <x:c r="I144" s="101"/>
      <x:c r="J144" s="107"/>
      <x:c r="K144" s="110" t="str">
        <x:f>IF(A144="","",IFERROR(VLOOKUP(C144,'Cấu hình'!$A$12:$D$19,2,FALSE),0))</x:f>
      </x:c>
      <x:c r="L144" s="92"/>
      <x:c r="M144" s="92"/>
      <x:c r="N144" s="95"/>
      <x:c r="O144" s="101"/>
      <x:c r="P144" s="101"/>
      <x:c r="Q144" s="101"/>
      <x:c r="R144" s="104" t="str">
        <x:f>IF(OR(P144="",D144=""),"",P144+IFERROR(VLOOKUP(D144,'Cấu hình'!$E$12:$G$15,3,FALSE),0))</x:f>
      </x:c>
      <x:c r="S144" s="101"/>
      <x:c r="T144" s="107"/>
      <x:c r="U144" s="113" t="str">
        <x:f>IF(A144="","",IF(S144&lt;&gt;"",0,IF(I144&lt;&gt;"",I144-TODAY(),IF(R144&lt;&gt;"",R144-TODAY(),""))))</x:f>
      </x:c>
      <x:c r="V144" s="113" t="str">
        <x:f>IF(A144="","",IF(S144&lt;&gt;"",MAX(0,S144-IF(I144&lt;&gt;"",I144,R144)),IF(OR(I144&lt;&gt;"",R144&lt;&gt;""),MAX(0,TODAY()-IF(I144&lt;&gt;"",I144,R144)),0)))</x:f>
      </x:c>
      <x:c r="W144" s="95"/>
      <x:c r="X144" s="95"/>
      <x:c r="Y144" s="92"/>
      <x:c r="Z144" s="92"/>
      <x:c r="AA144" s="92"/>
      <x:c r="AB144" s="92"/>
      <x:c r="AC144" s="113" t="str">
        <x:f>IF(A144="","",IF(P144="","",IF(S144&lt;&gt;"",S144-P144,TODAY()-P144)))</x:f>
      </x:c>
    </x:row>
    <x:row r="145" ht="28" customHeight="1">
      <x:c r="A145" s="92"/>
      <x:c r="B145" s="95"/>
      <x:c r="C145" s="92"/>
      <x:c r="D145" s="92"/>
      <x:c r="E145" s="92"/>
      <x:c r="F145" s="92"/>
      <x:c r="G145" s="92"/>
      <x:c r="H145" s="92"/>
      <x:c r="I145" s="101"/>
      <x:c r="J145" s="107"/>
      <x:c r="K145" s="110" t="str">
        <x:f>IF(A145="","",IFERROR(VLOOKUP(C145,'Cấu hình'!$A$12:$D$19,2,FALSE),0))</x:f>
      </x:c>
      <x:c r="L145" s="92"/>
      <x:c r="M145" s="92"/>
      <x:c r="N145" s="95"/>
      <x:c r="O145" s="101"/>
      <x:c r="P145" s="101"/>
      <x:c r="Q145" s="101"/>
      <x:c r="R145" s="104" t="str">
        <x:f>IF(OR(P145="",D145=""),"",P145+IFERROR(VLOOKUP(D145,'Cấu hình'!$E$12:$G$15,3,FALSE),0))</x:f>
      </x:c>
      <x:c r="S145" s="101"/>
      <x:c r="T145" s="107"/>
      <x:c r="U145" s="113" t="str">
        <x:f>IF(A145="","",IF(S145&lt;&gt;"",0,IF(I145&lt;&gt;"",I145-TODAY(),IF(R145&lt;&gt;"",R145-TODAY(),""))))</x:f>
      </x:c>
      <x:c r="V145" s="113" t="str">
        <x:f>IF(A145="","",IF(S145&lt;&gt;"",MAX(0,S145-IF(I145&lt;&gt;"",I145,R145)),IF(OR(I145&lt;&gt;"",R145&lt;&gt;""),MAX(0,TODAY()-IF(I145&lt;&gt;"",I145,R145)),0)))</x:f>
      </x:c>
      <x:c r="W145" s="95"/>
      <x:c r="X145" s="95"/>
      <x:c r="Y145" s="92"/>
      <x:c r="Z145" s="92"/>
      <x:c r="AA145" s="92"/>
      <x:c r="AB145" s="92"/>
      <x:c r="AC145" s="113" t="str">
        <x:f>IF(A145="","",IF(P145="","",IF(S145&lt;&gt;"",S145-P145,TODAY()-P145)))</x:f>
      </x:c>
    </x:row>
    <x:row r="146" ht="28" customHeight="1">
      <x:c r="A146" s="92"/>
      <x:c r="B146" s="95"/>
      <x:c r="C146" s="92"/>
      <x:c r="D146" s="92"/>
      <x:c r="E146" s="92"/>
      <x:c r="F146" s="92"/>
      <x:c r="G146" s="92"/>
      <x:c r="H146" s="92"/>
      <x:c r="I146" s="101"/>
      <x:c r="J146" s="107"/>
      <x:c r="K146" s="110" t="str">
        <x:f>IF(A146="","",IFERROR(VLOOKUP(C146,'Cấu hình'!$A$12:$D$19,2,FALSE),0))</x:f>
      </x:c>
      <x:c r="L146" s="92"/>
      <x:c r="M146" s="92"/>
      <x:c r="N146" s="95"/>
      <x:c r="O146" s="101"/>
      <x:c r="P146" s="101"/>
      <x:c r="Q146" s="101"/>
      <x:c r="R146" s="104" t="str">
        <x:f>IF(OR(P146="",D146=""),"",P146+IFERROR(VLOOKUP(D146,'Cấu hình'!$E$12:$G$15,3,FALSE),0))</x:f>
      </x:c>
      <x:c r="S146" s="101"/>
      <x:c r="T146" s="107"/>
      <x:c r="U146" s="113" t="str">
        <x:f>IF(A146="","",IF(S146&lt;&gt;"",0,IF(I146&lt;&gt;"",I146-TODAY(),IF(R146&lt;&gt;"",R146-TODAY(),""))))</x:f>
      </x:c>
      <x:c r="V146" s="113" t="str">
        <x:f>IF(A146="","",IF(S146&lt;&gt;"",MAX(0,S146-IF(I146&lt;&gt;"",I146,R146)),IF(OR(I146&lt;&gt;"",R146&lt;&gt;""),MAX(0,TODAY()-IF(I146&lt;&gt;"",I146,R146)),0)))</x:f>
      </x:c>
      <x:c r="W146" s="95"/>
      <x:c r="X146" s="95"/>
      <x:c r="Y146" s="92"/>
      <x:c r="Z146" s="92"/>
      <x:c r="AA146" s="92"/>
      <x:c r="AB146" s="92"/>
      <x:c r="AC146" s="113" t="str">
        <x:f>IF(A146="","",IF(P146="","",IF(S146&lt;&gt;"",S146-P146,TODAY()-P146)))</x:f>
      </x:c>
    </x:row>
    <x:row r="147" ht="28" customHeight="1">
      <x:c r="A147" s="92"/>
      <x:c r="B147" s="95"/>
      <x:c r="C147" s="92"/>
      <x:c r="D147" s="92"/>
      <x:c r="E147" s="92"/>
      <x:c r="F147" s="92"/>
      <x:c r="G147" s="92"/>
      <x:c r="H147" s="92"/>
      <x:c r="I147" s="101"/>
      <x:c r="J147" s="107"/>
      <x:c r="K147" s="110" t="str">
        <x:f>IF(A147="","",IFERROR(VLOOKUP(C147,'Cấu hình'!$A$12:$D$19,2,FALSE),0))</x:f>
      </x:c>
      <x:c r="L147" s="92"/>
      <x:c r="M147" s="92"/>
      <x:c r="N147" s="95"/>
      <x:c r="O147" s="101"/>
      <x:c r="P147" s="101"/>
      <x:c r="Q147" s="101"/>
      <x:c r="R147" s="104" t="str">
        <x:f>IF(OR(P147="",D147=""),"",P147+IFERROR(VLOOKUP(D147,'Cấu hình'!$E$12:$G$15,3,FALSE),0))</x:f>
      </x:c>
      <x:c r="S147" s="101"/>
      <x:c r="T147" s="107"/>
      <x:c r="U147" s="113" t="str">
        <x:f>IF(A147="","",IF(S147&lt;&gt;"",0,IF(I147&lt;&gt;"",I147-TODAY(),IF(R147&lt;&gt;"",R147-TODAY(),""))))</x:f>
      </x:c>
      <x:c r="V147" s="113" t="str">
        <x:f>IF(A147="","",IF(S147&lt;&gt;"",MAX(0,S147-IF(I147&lt;&gt;"",I147,R147)),IF(OR(I147&lt;&gt;"",R147&lt;&gt;""),MAX(0,TODAY()-IF(I147&lt;&gt;"",I147,R147)),0)))</x:f>
      </x:c>
      <x:c r="W147" s="95"/>
      <x:c r="X147" s="95"/>
      <x:c r="Y147" s="92"/>
      <x:c r="Z147" s="92"/>
      <x:c r="AA147" s="92"/>
      <x:c r="AB147" s="92"/>
      <x:c r="AC147" s="113" t="str">
        <x:f>IF(A147="","",IF(P147="","",IF(S147&lt;&gt;"",S147-P147,TODAY()-P147)))</x:f>
      </x:c>
    </x:row>
    <x:row r="148" ht="28" customHeight="1">
      <x:c r="A148" s="92"/>
      <x:c r="B148" s="95"/>
      <x:c r="C148" s="92"/>
      <x:c r="D148" s="92"/>
      <x:c r="E148" s="92"/>
      <x:c r="F148" s="92"/>
      <x:c r="G148" s="92"/>
      <x:c r="H148" s="92"/>
      <x:c r="I148" s="101"/>
      <x:c r="J148" s="107"/>
      <x:c r="K148" s="110" t="str">
        <x:f>IF(A148="","",IFERROR(VLOOKUP(C148,'Cấu hình'!$A$12:$D$19,2,FALSE),0))</x:f>
      </x:c>
      <x:c r="L148" s="92"/>
      <x:c r="M148" s="92"/>
      <x:c r="N148" s="95"/>
      <x:c r="O148" s="101"/>
      <x:c r="P148" s="101"/>
      <x:c r="Q148" s="101"/>
      <x:c r="R148" s="104" t="str">
        <x:f>IF(OR(P148="",D148=""),"",P148+IFERROR(VLOOKUP(D148,'Cấu hình'!$E$12:$G$15,3,FALSE),0))</x:f>
      </x:c>
      <x:c r="S148" s="101"/>
      <x:c r="T148" s="107"/>
      <x:c r="U148" s="113" t="str">
        <x:f>IF(A148="","",IF(S148&lt;&gt;"",0,IF(I148&lt;&gt;"",I148-TODAY(),IF(R148&lt;&gt;"",R148-TODAY(),""))))</x:f>
      </x:c>
      <x:c r="V148" s="113" t="str">
        <x:f>IF(A148="","",IF(S148&lt;&gt;"",MAX(0,S148-IF(I148&lt;&gt;"",I148,R148)),IF(OR(I148&lt;&gt;"",R148&lt;&gt;""),MAX(0,TODAY()-IF(I148&lt;&gt;"",I148,R148)),0)))</x:f>
      </x:c>
      <x:c r="W148" s="95"/>
      <x:c r="X148" s="95"/>
      <x:c r="Y148" s="92"/>
      <x:c r="Z148" s="92"/>
      <x:c r="AA148" s="92"/>
      <x:c r="AB148" s="92"/>
      <x:c r="AC148" s="113" t="str">
        <x:f>IF(A148="","",IF(P148="","",IF(S148&lt;&gt;"",S148-P148,TODAY()-P148)))</x:f>
      </x:c>
    </x:row>
    <x:row r="149" ht="28" customHeight="1">
      <x:c r="A149" s="92"/>
      <x:c r="B149" s="95"/>
      <x:c r="C149" s="92"/>
      <x:c r="D149" s="92"/>
      <x:c r="E149" s="92"/>
      <x:c r="F149" s="92"/>
      <x:c r="G149" s="92"/>
      <x:c r="H149" s="92"/>
      <x:c r="I149" s="101"/>
      <x:c r="J149" s="107"/>
      <x:c r="K149" s="110" t="str">
        <x:f>IF(A149="","",IFERROR(VLOOKUP(C149,'Cấu hình'!$A$12:$D$19,2,FALSE),0))</x:f>
      </x:c>
      <x:c r="L149" s="92"/>
      <x:c r="M149" s="92"/>
      <x:c r="N149" s="95"/>
      <x:c r="O149" s="101"/>
      <x:c r="P149" s="101"/>
      <x:c r="Q149" s="101"/>
      <x:c r="R149" s="104" t="str">
        <x:f>IF(OR(P149="",D149=""),"",P149+IFERROR(VLOOKUP(D149,'Cấu hình'!$E$12:$G$15,3,FALSE),0))</x:f>
      </x:c>
      <x:c r="S149" s="101"/>
      <x:c r="T149" s="107"/>
      <x:c r="U149" s="113" t="str">
        <x:f>IF(A149="","",IF(S149&lt;&gt;"",0,IF(I149&lt;&gt;"",I149-TODAY(),IF(R149&lt;&gt;"",R149-TODAY(),""))))</x:f>
      </x:c>
      <x:c r="V149" s="113" t="str">
        <x:f>IF(A149="","",IF(S149&lt;&gt;"",MAX(0,S149-IF(I149&lt;&gt;"",I149,R149)),IF(OR(I149&lt;&gt;"",R149&lt;&gt;""),MAX(0,TODAY()-IF(I149&lt;&gt;"",I149,R149)),0)))</x:f>
      </x:c>
      <x:c r="W149" s="95"/>
      <x:c r="X149" s="95"/>
      <x:c r="Y149" s="92"/>
      <x:c r="Z149" s="92"/>
      <x:c r="AA149" s="92"/>
      <x:c r="AB149" s="92"/>
      <x:c r="AC149" s="113" t="str">
        <x:f>IF(A149="","",IF(P149="","",IF(S149&lt;&gt;"",S149-P149,TODAY()-P149)))</x:f>
      </x:c>
    </x:row>
    <x:row r="150" ht="28" customHeight="1">
      <x:c r="A150" s="92"/>
      <x:c r="B150" s="95"/>
      <x:c r="C150" s="92"/>
      <x:c r="D150" s="92"/>
      <x:c r="E150" s="92"/>
      <x:c r="F150" s="92"/>
      <x:c r="G150" s="92"/>
      <x:c r="H150" s="92"/>
      <x:c r="I150" s="101"/>
      <x:c r="J150" s="107"/>
      <x:c r="K150" s="110" t="str">
        <x:f>IF(A150="","",IFERROR(VLOOKUP(C150,'Cấu hình'!$A$12:$D$19,2,FALSE),0))</x:f>
      </x:c>
      <x:c r="L150" s="92"/>
      <x:c r="M150" s="92"/>
      <x:c r="N150" s="95"/>
      <x:c r="O150" s="101"/>
      <x:c r="P150" s="101"/>
      <x:c r="Q150" s="101"/>
      <x:c r="R150" s="104" t="str">
        <x:f>IF(OR(P150="",D150=""),"",P150+IFERROR(VLOOKUP(D150,'Cấu hình'!$E$12:$G$15,3,FALSE),0))</x:f>
      </x:c>
      <x:c r="S150" s="101"/>
      <x:c r="T150" s="107"/>
      <x:c r="U150" s="113" t="str">
        <x:f>IF(A150="","",IF(S150&lt;&gt;"",0,IF(I150&lt;&gt;"",I150-TODAY(),IF(R150&lt;&gt;"",R150-TODAY(),""))))</x:f>
      </x:c>
      <x:c r="V150" s="113" t="str">
        <x:f>IF(A150="","",IF(S150&lt;&gt;"",MAX(0,S150-IF(I150&lt;&gt;"",I150,R150)),IF(OR(I150&lt;&gt;"",R150&lt;&gt;""),MAX(0,TODAY()-IF(I150&lt;&gt;"",I150,R150)),0)))</x:f>
      </x:c>
      <x:c r="W150" s="95"/>
      <x:c r="X150" s="95"/>
      <x:c r="Y150" s="92"/>
      <x:c r="Z150" s="92"/>
      <x:c r="AA150" s="92"/>
      <x:c r="AB150" s="92"/>
      <x:c r="AC150" s="113" t="str">
        <x:f>IF(A150="","",IF(P150="","",IF(S150&lt;&gt;"",S150-P150,TODAY()-P150)))</x:f>
      </x:c>
    </x:row>
    <x:row r="151" ht="28" customHeight="1">
      <x:c r="A151" s="92"/>
      <x:c r="B151" s="95"/>
      <x:c r="C151" s="92"/>
      <x:c r="D151" s="92"/>
      <x:c r="E151" s="92"/>
      <x:c r="F151" s="92"/>
      <x:c r="G151" s="92"/>
      <x:c r="H151" s="92"/>
      <x:c r="I151" s="101"/>
      <x:c r="J151" s="107"/>
      <x:c r="K151" s="110" t="str">
        <x:f>IF(A151="","",IFERROR(VLOOKUP(C151,'Cấu hình'!$A$12:$D$19,2,FALSE),0))</x:f>
      </x:c>
      <x:c r="L151" s="92"/>
      <x:c r="M151" s="92"/>
      <x:c r="N151" s="95"/>
      <x:c r="O151" s="101"/>
      <x:c r="P151" s="101"/>
      <x:c r="Q151" s="101"/>
      <x:c r="R151" s="104" t="str">
        <x:f>IF(OR(P151="",D151=""),"",P151+IFERROR(VLOOKUP(D151,'Cấu hình'!$E$12:$G$15,3,FALSE),0))</x:f>
      </x:c>
      <x:c r="S151" s="101"/>
      <x:c r="T151" s="107"/>
      <x:c r="U151" s="113" t="str">
        <x:f>IF(A151="","",IF(S151&lt;&gt;"",0,IF(I151&lt;&gt;"",I151-TODAY(),IF(R151&lt;&gt;"",R151-TODAY(),""))))</x:f>
      </x:c>
      <x:c r="V151" s="113" t="str">
        <x:f>IF(A151="","",IF(S151&lt;&gt;"",MAX(0,S151-IF(I151&lt;&gt;"",I151,R151)),IF(OR(I151&lt;&gt;"",R151&lt;&gt;""),MAX(0,TODAY()-IF(I151&lt;&gt;"",I151,R151)),0)))</x:f>
      </x:c>
      <x:c r="W151" s="95"/>
      <x:c r="X151" s="95"/>
      <x:c r="Y151" s="92"/>
      <x:c r="Z151" s="92"/>
      <x:c r="AA151" s="92"/>
      <x:c r="AB151" s="92"/>
      <x:c r="AC151" s="113" t="str">
        <x:f>IF(A151="","",IF(P151="","",IF(S151&lt;&gt;"",S151-P151,TODAY()-P151)))</x:f>
      </x:c>
    </x:row>
    <x:row r="152" ht="28" customHeight="1">
      <x:c r="A152" s="92"/>
      <x:c r="B152" s="95"/>
      <x:c r="C152" s="92"/>
      <x:c r="D152" s="92"/>
      <x:c r="E152" s="92"/>
      <x:c r="F152" s="92"/>
      <x:c r="G152" s="92"/>
      <x:c r="H152" s="92"/>
      <x:c r="I152" s="101"/>
      <x:c r="J152" s="107"/>
      <x:c r="K152" s="110" t="str">
        <x:f>IF(A152="","",IFERROR(VLOOKUP(C152,'Cấu hình'!$A$12:$D$19,2,FALSE),0))</x:f>
      </x:c>
      <x:c r="L152" s="92"/>
      <x:c r="M152" s="92"/>
      <x:c r="N152" s="95"/>
      <x:c r="O152" s="101"/>
      <x:c r="P152" s="101"/>
      <x:c r="Q152" s="101"/>
      <x:c r="R152" s="104" t="str">
        <x:f>IF(OR(P152="",D152=""),"",P152+IFERROR(VLOOKUP(D152,'Cấu hình'!$E$12:$G$15,3,FALSE),0))</x:f>
      </x:c>
      <x:c r="S152" s="101"/>
      <x:c r="T152" s="107"/>
      <x:c r="U152" s="113" t="str">
        <x:f>IF(A152="","",IF(S152&lt;&gt;"",0,IF(I152&lt;&gt;"",I152-TODAY(),IF(R152&lt;&gt;"",R152-TODAY(),""))))</x:f>
      </x:c>
      <x:c r="V152" s="113" t="str">
        <x:f>IF(A152="","",IF(S152&lt;&gt;"",MAX(0,S152-IF(I152&lt;&gt;"",I152,R152)),IF(OR(I152&lt;&gt;"",R152&lt;&gt;""),MAX(0,TODAY()-IF(I152&lt;&gt;"",I152,R152)),0)))</x:f>
      </x:c>
      <x:c r="W152" s="95"/>
      <x:c r="X152" s="95"/>
      <x:c r="Y152" s="92"/>
      <x:c r="Z152" s="92"/>
      <x:c r="AA152" s="92"/>
      <x:c r="AB152" s="92"/>
      <x:c r="AC152" s="113" t="str">
        <x:f>IF(A152="","",IF(P152="","",IF(S152&lt;&gt;"",S152-P152,TODAY()-P152)))</x:f>
      </x:c>
    </x:row>
    <x:row r="153" ht="28" customHeight="1">
      <x:c r="A153" s="92"/>
      <x:c r="B153" s="95"/>
      <x:c r="C153" s="92"/>
      <x:c r="D153" s="92"/>
      <x:c r="E153" s="92"/>
      <x:c r="F153" s="92"/>
      <x:c r="G153" s="92"/>
      <x:c r="H153" s="92"/>
      <x:c r="I153" s="101"/>
      <x:c r="J153" s="107"/>
      <x:c r="K153" s="110" t="str">
        <x:f>IF(A153="","",IFERROR(VLOOKUP(C153,'Cấu hình'!$A$12:$D$19,2,FALSE),0))</x:f>
      </x:c>
      <x:c r="L153" s="92"/>
      <x:c r="M153" s="92"/>
      <x:c r="N153" s="95"/>
      <x:c r="O153" s="101"/>
      <x:c r="P153" s="101"/>
      <x:c r="Q153" s="101"/>
      <x:c r="R153" s="104" t="str">
        <x:f>IF(OR(P153="",D153=""),"",P153+IFERROR(VLOOKUP(D153,'Cấu hình'!$E$12:$G$15,3,FALSE),0))</x:f>
      </x:c>
      <x:c r="S153" s="101"/>
      <x:c r="T153" s="107"/>
      <x:c r="U153" s="113" t="str">
        <x:f>IF(A153="","",IF(S153&lt;&gt;"",0,IF(I153&lt;&gt;"",I153-TODAY(),IF(R153&lt;&gt;"",R153-TODAY(),""))))</x:f>
      </x:c>
      <x:c r="V153" s="113" t="str">
        <x:f>IF(A153="","",IF(S153&lt;&gt;"",MAX(0,S153-IF(I153&lt;&gt;"",I153,R153)),IF(OR(I153&lt;&gt;"",R153&lt;&gt;""),MAX(0,TODAY()-IF(I153&lt;&gt;"",I153,R153)),0)))</x:f>
      </x:c>
      <x:c r="W153" s="95"/>
      <x:c r="X153" s="95"/>
      <x:c r="Y153" s="92"/>
      <x:c r="Z153" s="92"/>
      <x:c r="AA153" s="92"/>
      <x:c r="AB153" s="92"/>
      <x:c r="AC153" s="113" t="str">
        <x:f>IF(A153="","",IF(P153="","",IF(S153&lt;&gt;"",S153-P153,TODAY()-P153)))</x:f>
      </x:c>
    </x:row>
    <x:row r="154" ht="28" customHeight="1">
      <x:c r="A154" s="92"/>
      <x:c r="B154" s="95"/>
      <x:c r="C154" s="92"/>
      <x:c r="D154" s="92"/>
      <x:c r="E154" s="92"/>
      <x:c r="F154" s="92"/>
      <x:c r="G154" s="92"/>
      <x:c r="H154" s="92"/>
      <x:c r="I154" s="101"/>
      <x:c r="J154" s="107"/>
      <x:c r="K154" s="110" t="str">
        <x:f>IF(A154="","",IFERROR(VLOOKUP(C154,'Cấu hình'!$A$12:$D$19,2,FALSE),0))</x:f>
      </x:c>
      <x:c r="L154" s="92"/>
      <x:c r="M154" s="92"/>
      <x:c r="N154" s="95"/>
      <x:c r="O154" s="101"/>
      <x:c r="P154" s="101"/>
      <x:c r="Q154" s="101"/>
      <x:c r="R154" s="104" t="str">
        <x:f>IF(OR(P154="",D154=""),"",P154+IFERROR(VLOOKUP(D154,'Cấu hình'!$E$12:$G$15,3,FALSE),0))</x:f>
      </x:c>
      <x:c r="S154" s="101"/>
      <x:c r="T154" s="107"/>
      <x:c r="U154" s="113" t="str">
        <x:f>IF(A154="","",IF(S154&lt;&gt;"",0,IF(I154&lt;&gt;"",I154-TODAY(),IF(R154&lt;&gt;"",R154-TODAY(),""))))</x:f>
      </x:c>
      <x:c r="V154" s="113" t="str">
        <x:f>IF(A154="","",IF(S154&lt;&gt;"",MAX(0,S154-IF(I154&lt;&gt;"",I154,R154)),IF(OR(I154&lt;&gt;"",R154&lt;&gt;""),MAX(0,TODAY()-IF(I154&lt;&gt;"",I154,R154)),0)))</x:f>
      </x:c>
      <x:c r="W154" s="95"/>
      <x:c r="X154" s="95"/>
      <x:c r="Y154" s="92"/>
      <x:c r="Z154" s="92"/>
      <x:c r="AA154" s="92"/>
      <x:c r="AB154" s="92"/>
      <x:c r="AC154" s="113" t="str">
        <x:f>IF(A154="","",IF(P154="","",IF(S154&lt;&gt;"",S154-P154,TODAY()-P154)))</x:f>
      </x:c>
    </x:row>
    <x:row r="155" ht="28" customHeight="1">
      <x:c r="A155" s="92"/>
      <x:c r="B155" s="95"/>
      <x:c r="C155" s="92"/>
      <x:c r="D155" s="92"/>
      <x:c r="E155" s="92"/>
      <x:c r="F155" s="92"/>
      <x:c r="G155" s="92"/>
      <x:c r="H155" s="92"/>
      <x:c r="I155" s="101"/>
      <x:c r="J155" s="107"/>
      <x:c r="K155" s="110" t="str">
        <x:f>IF(A155="","",IFERROR(VLOOKUP(C155,'Cấu hình'!$A$12:$D$19,2,FALSE),0))</x:f>
      </x:c>
      <x:c r="L155" s="92"/>
      <x:c r="M155" s="92"/>
      <x:c r="N155" s="95"/>
      <x:c r="O155" s="101"/>
      <x:c r="P155" s="101"/>
      <x:c r="Q155" s="101"/>
      <x:c r="R155" s="104" t="str">
        <x:f>IF(OR(P155="",D155=""),"",P155+IFERROR(VLOOKUP(D155,'Cấu hình'!$E$12:$G$15,3,FALSE),0))</x:f>
      </x:c>
      <x:c r="S155" s="101"/>
      <x:c r="T155" s="107"/>
      <x:c r="U155" s="113" t="str">
        <x:f>IF(A155="","",IF(S155&lt;&gt;"",0,IF(I155&lt;&gt;"",I155-TODAY(),IF(R155&lt;&gt;"",R155-TODAY(),""))))</x:f>
      </x:c>
      <x:c r="V155" s="113" t="str">
        <x:f>IF(A155="","",IF(S155&lt;&gt;"",MAX(0,S155-IF(I155&lt;&gt;"",I155,R155)),IF(OR(I155&lt;&gt;"",R155&lt;&gt;""),MAX(0,TODAY()-IF(I155&lt;&gt;"",I155,R155)),0)))</x:f>
      </x:c>
      <x:c r="W155" s="95"/>
      <x:c r="X155" s="95"/>
      <x:c r="Y155" s="92"/>
      <x:c r="Z155" s="92"/>
      <x:c r="AA155" s="92"/>
      <x:c r="AB155" s="92"/>
      <x:c r="AC155" s="113" t="str">
        <x:f>IF(A155="","",IF(P155="","",IF(S155&lt;&gt;"",S155-P155,TODAY()-P155)))</x:f>
      </x:c>
    </x:row>
    <x:row r="156" ht="28" customHeight="1">
      <x:c r="A156" s="92"/>
      <x:c r="B156" s="95"/>
      <x:c r="C156" s="92"/>
      <x:c r="D156" s="92"/>
      <x:c r="E156" s="92"/>
      <x:c r="F156" s="92"/>
      <x:c r="G156" s="92"/>
      <x:c r="H156" s="92"/>
      <x:c r="I156" s="101"/>
      <x:c r="J156" s="107"/>
      <x:c r="K156" s="110" t="str">
        <x:f>IF(A156="","",IFERROR(VLOOKUP(C156,'Cấu hình'!$A$12:$D$19,2,FALSE),0))</x:f>
      </x:c>
      <x:c r="L156" s="92"/>
      <x:c r="M156" s="92"/>
      <x:c r="N156" s="95"/>
      <x:c r="O156" s="101"/>
      <x:c r="P156" s="101"/>
      <x:c r="Q156" s="101"/>
      <x:c r="R156" s="104" t="str">
        <x:f>IF(OR(P156="",D156=""),"",P156+IFERROR(VLOOKUP(D156,'Cấu hình'!$E$12:$G$15,3,FALSE),0))</x:f>
      </x:c>
      <x:c r="S156" s="101"/>
      <x:c r="T156" s="107"/>
      <x:c r="U156" s="113" t="str">
        <x:f>IF(A156="","",IF(S156&lt;&gt;"",0,IF(I156&lt;&gt;"",I156-TODAY(),IF(R156&lt;&gt;"",R156-TODAY(),""))))</x:f>
      </x:c>
      <x:c r="V156" s="113" t="str">
        <x:f>IF(A156="","",IF(S156&lt;&gt;"",MAX(0,S156-IF(I156&lt;&gt;"",I156,R156)),IF(OR(I156&lt;&gt;"",R156&lt;&gt;""),MAX(0,TODAY()-IF(I156&lt;&gt;"",I156,R156)),0)))</x:f>
      </x:c>
      <x:c r="W156" s="95"/>
      <x:c r="X156" s="95"/>
      <x:c r="Y156" s="92"/>
      <x:c r="Z156" s="92"/>
      <x:c r="AA156" s="92"/>
      <x:c r="AB156" s="92"/>
      <x:c r="AC156" s="113" t="str">
        <x:f>IF(A156="","",IF(P156="","",IF(S156&lt;&gt;"",S156-P156,TODAY()-P156)))</x:f>
      </x:c>
    </x:row>
    <x:row r="157" ht="28" customHeight="1">
      <x:c r="A157" s="92"/>
      <x:c r="B157" s="95"/>
      <x:c r="C157" s="92"/>
      <x:c r="D157" s="92"/>
      <x:c r="E157" s="92"/>
      <x:c r="F157" s="92"/>
      <x:c r="G157" s="92"/>
      <x:c r="H157" s="92"/>
      <x:c r="I157" s="101"/>
      <x:c r="J157" s="107"/>
      <x:c r="K157" s="110" t="str">
        <x:f>IF(A157="","",IFERROR(VLOOKUP(C157,'Cấu hình'!$A$12:$D$19,2,FALSE),0))</x:f>
      </x:c>
      <x:c r="L157" s="92"/>
      <x:c r="M157" s="92"/>
      <x:c r="N157" s="95"/>
      <x:c r="O157" s="101"/>
      <x:c r="P157" s="101"/>
      <x:c r="Q157" s="101"/>
      <x:c r="R157" s="104" t="str">
        <x:f>IF(OR(P157="",D157=""),"",P157+IFERROR(VLOOKUP(D157,'Cấu hình'!$E$12:$G$15,3,FALSE),0))</x:f>
      </x:c>
      <x:c r="S157" s="101"/>
      <x:c r="T157" s="107"/>
      <x:c r="U157" s="113" t="str">
        <x:f>IF(A157="","",IF(S157&lt;&gt;"",0,IF(I157&lt;&gt;"",I157-TODAY(),IF(R157&lt;&gt;"",R157-TODAY(),""))))</x:f>
      </x:c>
      <x:c r="V157" s="113" t="str">
        <x:f>IF(A157="","",IF(S157&lt;&gt;"",MAX(0,S157-IF(I157&lt;&gt;"",I157,R157)),IF(OR(I157&lt;&gt;"",R157&lt;&gt;""),MAX(0,TODAY()-IF(I157&lt;&gt;"",I157,R157)),0)))</x:f>
      </x:c>
      <x:c r="W157" s="95"/>
      <x:c r="X157" s="95"/>
      <x:c r="Y157" s="92"/>
      <x:c r="Z157" s="92"/>
      <x:c r="AA157" s="92"/>
      <x:c r="AB157" s="92"/>
      <x:c r="AC157" s="113" t="str">
        <x:f>IF(A157="","",IF(P157="","",IF(S157&lt;&gt;"",S157-P157,TODAY()-P157)))</x:f>
      </x:c>
    </x:row>
    <x:row r="158" ht="28" customHeight="1">
      <x:c r="A158" s="92"/>
      <x:c r="B158" s="95"/>
      <x:c r="C158" s="92"/>
      <x:c r="D158" s="92"/>
      <x:c r="E158" s="92"/>
      <x:c r="F158" s="92"/>
      <x:c r="G158" s="92"/>
      <x:c r="H158" s="92"/>
      <x:c r="I158" s="101"/>
      <x:c r="J158" s="107"/>
      <x:c r="K158" s="110" t="str">
        <x:f>IF(A158="","",IFERROR(VLOOKUP(C158,'Cấu hình'!$A$12:$D$19,2,FALSE),0))</x:f>
      </x:c>
      <x:c r="L158" s="92"/>
      <x:c r="M158" s="92"/>
      <x:c r="N158" s="95"/>
      <x:c r="O158" s="101"/>
      <x:c r="P158" s="101"/>
      <x:c r="Q158" s="101"/>
      <x:c r="R158" s="104" t="str">
        <x:f>IF(OR(P158="",D158=""),"",P158+IFERROR(VLOOKUP(D158,'Cấu hình'!$E$12:$G$15,3,FALSE),0))</x:f>
      </x:c>
      <x:c r="S158" s="101"/>
      <x:c r="T158" s="107"/>
      <x:c r="U158" s="113" t="str">
        <x:f>IF(A158="","",IF(S158&lt;&gt;"",0,IF(I158&lt;&gt;"",I158-TODAY(),IF(R158&lt;&gt;"",R158-TODAY(),""))))</x:f>
      </x:c>
      <x:c r="V158" s="113" t="str">
        <x:f>IF(A158="","",IF(S158&lt;&gt;"",MAX(0,S158-IF(I158&lt;&gt;"",I158,R158)),IF(OR(I158&lt;&gt;"",R158&lt;&gt;""),MAX(0,TODAY()-IF(I158&lt;&gt;"",I158,R158)),0)))</x:f>
      </x:c>
      <x:c r="W158" s="95"/>
      <x:c r="X158" s="95"/>
      <x:c r="Y158" s="92"/>
      <x:c r="Z158" s="92"/>
      <x:c r="AA158" s="92"/>
      <x:c r="AB158" s="92"/>
      <x:c r="AC158" s="113" t="str">
        <x:f>IF(A158="","",IF(P158="","",IF(S158&lt;&gt;"",S158-P158,TODAY()-P158)))</x:f>
      </x:c>
    </x:row>
    <x:row r="159" ht="28" customHeight="1">
      <x:c r="A159" s="92"/>
      <x:c r="B159" s="95"/>
      <x:c r="C159" s="92"/>
      <x:c r="D159" s="92"/>
      <x:c r="E159" s="92"/>
      <x:c r="F159" s="92"/>
      <x:c r="G159" s="92"/>
      <x:c r="H159" s="92"/>
      <x:c r="I159" s="101"/>
      <x:c r="J159" s="107"/>
      <x:c r="K159" s="110" t="str">
        <x:f>IF(A159="","",IFERROR(VLOOKUP(C159,'Cấu hình'!$A$12:$D$19,2,FALSE),0))</x:f>
      </x:c>
      <x:c r="L159" s="92"/>
      <x:c r="M159" s="92"/>
      <x:c r="N159" s="95"/>
      <x:c r="O159" s="101"/>
      <x:c r="P159" s="101"/>
      <x:c r="Q159" s="101"/>
      <x:c r="R159" s="104" t="str">
        <x:f>IF(OR(P159="",D159=""),"",P159+IFERROR(VLOOKUP(D159,'Cấu hình'!$E$12:$G$15,3,FALSE),0))</x:f>
      </x:c>
      <x:c r="S159" s="101"/>
      <x:c r="T159" s="107"/>
      <x:c r="U159" s="113" t="str">
        <x:f>IF(A159="","",IF(S159&lt;&gt;"",0,IF(I159&lt;&gt;"",I159-TODAY(),IF(R159&lt;&gt;"",R159-TODAY(),""))))</x:f>
      </x:c>
      <x:c r="V159" s="113" t="str">
        <x:f>IF(A159="","",IF(S159&lt;&gt;"",MAX(0,S159-IF(I159&lt;&gt;"",I159,R159)),IF(OR(I159&lt;&gt;"",R159&lt;&gt;""),MAX(0,TODAY()-IF(I159&lt;&gt;"",I159,R159)),0)))</x:f>
      </x:c>
      <x:c r="W159" s="95"/>
      <x:c r="X159" s="95"/>
      <x:c r="Y159" s="92"/>
      <x:c r="Z159" s="92"/>
      <x:c r="AA159" s="92"/>
      <x:c r="AB159" s="92"/>
      <x:c r="AC159" s="113" t="str">
        <x:f>IF(A159="","",IF(P159="","",IF(S159&lt;&gt;"",S159-P159,TODAY()-P159)))</x:f>
      </x:c>
    </x:row>
    <x:row r="160" ht="28" customHeight="1">
      <x:c r="A160" s="92"/>
      <x:c r="B160" s="95"/>
      <x:c r="C160" s="92"/>
      <x:c r="D160" s="92"/>
      <x:c r="E160" s="92"/>
      <x:c r="F160" s="92"/>
      <x:c r="G160" s="92"/>
      <x:c r="H160" s="92"/>
      <x:c r="I160" s="101"/>
      <x:c r="J160" s="107"/>
      <x:c r="K160" s="110" t="str">
        <x:f>IF(A160="","",IFERROR(VLOOKUP(C160,'Cấu hình'!$A$12:$D$19,2,FALSE),0))</x:f>
      </x:c>
      <x:c r="L160" s="92"/>
      <x:c r="M160" s="92"/>
      <x:c r="N160" s="95"/>
      <x:c r="O160" s="101"/>
      <x:c r="P160" s="101"/>
      <x:c r="Q160" s="101"/>
      <x:c r="R160" s="104" t="str">
        <x:f>IF(OR(P160="",D160=""),"",P160+IFERROR(VLOOKUP(D160,'Cấu hình'!$E$12:$G$15,3,FALSE),0))</x:f>
      </x:c>
      <x:c r="S160" s="101"/>
      <x:c r="T160" s="107"/>
      <x:c r="U160" s="113" t="str">
        <x:f>IF(A160="","",IF(S160&lt;&gt;"",0,IF(I160&lt;&gt;"",I160-TODAY(),IF(R160&lt;&gt;"",R160-TODAY(),""))))</x:f>
      </x:c>
      <x:c r="V160" s="113" t="str">
        <x:f>IF(A160="","",IF(S160&lt;&gt;"",MAX(0,S160-IF(I160&lt;&gt;"",I160,R160)),IF(OR(I160&lt;&gt;"",R160&lt;&gt;""),MAX(0,TODAY()-IF(I160&lt;&gt;"",I160,R160)),0)))</x:f>
      </x:c>
      <x:c r="W160" s="95"/>
      <x:c r="X160" s="95"/>
      <x:c r="Y160" s="92"/>
      <x:c r="Z160" s="92"/>
      <x:c r="AA160" s="92"/>
      <x:c r="AB160" s="92"/>
      <x:c r="AC160" s="113" t="str">
        <x:f>IF(A160="","",IF(P160="","",IF(S160&lt;&gt;"",S160-P160,TODAY()-P160)))</x:f>
      </x:c>
    </x:row>
    <x:row r="161" ht="28" customHeight="1">
      <x:c r="A161" s="92"/>
      <x:c r="B161" s="95"/>
      <x:c r="C161" s="92"/>
      <x:c r="D161" s="92"/>
      <x:c r="E161" s="92"/>
      <x:c r="F161" s="92"/>
      <x:c r="G161" s="92"/>
      <x:c r="H161" s="92"/>
      <x:c r="I161" s="101"/>
      <x:c r="J161" s="107"/>
      <x:c r="K161" s="110" t="str">
        <x:f>IF(A161="","",IFERROR(VLOOKUP(C161,'Cấu hình'!$A$12:$D$19,2,FALSE),0))</x:f>
      </x:c>
      <x:c r="L161" s="92"/>
      <x:c r="M161" s="92"/>
      <x:c r="N161" s="95"/>
      <x:c r="O161" s="101"/>
      <x:c r="P161" s="101"/>
      <x:c r="Q161" s="101"/>
      <x:c r="R161" s="104" t="str">
        <x:f>IF(OR(P161="",D161=""),"",P161+IFERROR(VLOOKUP(D161,'Cấu hình'!$E$12:$G$15,3,FALSE),0))</x:f>
      </x:c>
      <x:c r="S161" s="101"/>
      <x:c r="T161" s="107"/>
      <x:c r="U161" s="113" t="str">
        <x:f>IF(A161="","",IF(S161&lt;&gt;"",0,IF(I161&lt;&gt;"",I161-TODAY(),IF(R161&lt;&gt;"",R161-TODAY(),""))))</x:f>
      </x:c>
      <x:c r="V161" s="113" t="str">
        <x:f>IF(A161="","",IF(S161&lt;&gt;"",MAX(0,S161-IF(I161&lt;&gt;"",I161,R161)),IF(OR(I161&lt;&gt;"",R161&lt;&gt;""),MAX(0,TODAY()-IF(I161&lt;&gt;"",I161,R161)),0)))</x:f>
      </x:c>
      <x:c r="W161" s="95"/>
      <x:c r="X161" s="95"/>
      <x:c r="Y161" s="92"/>
      <x:c r="Z161" s="92"/>
      <x:c r="AA161" s="92"/>
      <x:c r="AB161" s="92"/>
      <x:c r="AC161" s="113" t="str">
        <x:f>IF(A161="","",IF(P161="","",IF(S161&lt;&gt;"",S161-P161,TODAY()-P161)))</x:f>
      </x:c>
    </x:row>
    <x:row r="162" ht="28" customHeight="1">
      <x:c r="A162" s="92"/>
      <x:c r="B162" s="95"/>
      <x:c r="C162" s="92"/>
      <x:c r="D162" s="92"/>
      <x:c r="E162" s="92"/>
      <x:c r="F162" s="92"/>
      <x:c r="G162" s="92"/>
      <x:c r="H162" s="92"/>
      <x:c r="I162" s="101"/>
      <x:c r="J162" s="107"/>
      <x:c r="K162" s="110" t="str">
        <x:f>IF(A162="","",IFERROR(VLOOKUP(C162,'Cấu hình'!$A$12:$D$19,2,FALSE),0))</x:f>
      </x:c>
      <x:c r="L162" s="92"/>
      <x:c r="M162" s="92"/>
      <x:c r="N162" s="95"/>
      <x:c r="O162" s="101"/>
      <x:c r="P162" s="101"/>
      <x:c r="Q162" s="101"/>
      <x:c r="R162" s="104" t="str">
        <x:f>IF(OR(P162="",D162=""),"",P162+IFERROR(VLOOKUP(D162,'Cấu hình'!$E$12:$G$15,3,FALSE),0))</x:f>
      </x:c>
      <x:c r="S162" s="101"/>
      <x:c r="T162" s="107"/>
      <x:c r="U162" s="113" t="str">
        <x:f>IF(A162="","",IF(S162&lt;&gt;"",0,IF(I162&lt;&gt;"",I162-TODAY(),IF(R162&lt;&gt;"",R162-TODAY(),""))))</x:f>
      </x:c>
      <x:c r="V162" s="113" t="str">
        <x:f>IF(A162="","",IF(S162&lt;&gt;"",MAX(0,S162-IF(I162&lt;&gt;"",I162,R162)),IF(OR(I162&lt;&gt;"",R162&lt;&gt;""),MAX(0,TODAY()-IF(I162&lt;&gt;"",I162,R162)),0)))</x:f>
      </x:c>
      <x:c r="W162" s="95"/>
      <x:c r="X162" s="95"/>
      <x:c r="Y162" s="92"/>
      <x:c r="Z162" s="92"/>
      <x:c r="AA162" s="92"/>
      <x:c r="AB162" s="92"/>
      <x:c r="AC162" s="113" t="str">
        <x:f>IF(A162="","",IF(P162="","",IF(S162&lt;&gt;"",S162-P162,TODAY()-P162)))</x:f>
      </x:c>
    </x:row>
    <x:row r="163" ht="28" customHeight="1">
      <x:c r="A163" s="92"/>
      <x:c r="B163" s="95"/>
      <x:c r="C163" s="92"/>
      <x:c r="D163" s="92"/>
      <x:c r="E163" s="92"/>
      <x:c r="F163" s="92"/>
      <x:c r="G163" s="92"/>
      <x:c r="H163" s="92"/>
      <x:c r="I163" s="101"/>
      <x:c r="J163" s="107"/>
      <x:c r="K163" s="110" t="str">
        <x:f>IF(A163="","",IFERROR(VLOOKUP(C163,'Cấu hình'!$A$12:$D$19,2,FALSE),0))</x:f>
      </x:c>
      <x:c r="L163" s="92"/>
      <x:c r="M163" s="92"/>
      <x:c r="N163" s="95"/>
      <x:c r="O163" s="101"/>
      <x:c r="P163" s="101"/>
      <x:c r="Q163" s="101"/>
      <x:c r="R163" s="104" t="str">
        <x:f>IF(OR(P163="",D163=""),"",P163+IFERROR(VLOOKUP(D163,'Cấu hình'!$E$12:$G$15,3,FALSE),0))</x:f>
      </x:c>
      <x:c r="S163" s="101"/>
      <x:c r="T163" s="107"/>
      <x:c r="U163" s="113" t="str">
        <x:f>IF(A163="","",IF(S163&lt;&gt;"",0,IF(I163&lt;&gt;"",I163-TODAY(),IF(R163&lt;&gt;"",R163-TODAY(),""))))</x:f>
      </x:c>
      <x:c r="V163" s="113" t="str">
        <x:f>IF(A163="","",IF(S163&lt;&gt;"",MAX(0,S163-IF(I163&lt;&gt;"",I163,R163)),IF(OR(I163&lt;&gt;"",R163&lt;&gt;""),MAX(0,TODAY()-IF(I163&lt;&gt;"",I163,R163)),0)))</x:f>
      </x:c>
      <x:c r="W163" s="95"/>
      <x:c r="X163" s="95"/>
      <x:c r="Y163" s="92"/>
      <x:c r="Z163" s="92"/>
      <x:c r="AA163" s="92"/>
      <x:c r="AB163" s="92"/>
      <x:c r="AC163" s="113" t="str">
        <x:f>IF(A163="","",IF(P163="","",IF(S163&lt;&gt;"",S163-P163,TODAY()-P163)))</x:f>
      </x:c>
    </x:row>
    <x:row r="164" ht="28" customHeight="1">
      <x:c r="A164" s="92"/>
      <x:c r="B164" s="95"/>
      <x:c r="C164" s="92"/>
      <x:c r="D164" s="92"/>
      <x:c r="E164" s="92"/>
      <x:c r="F164" s="92"/>
      <x:c r="G164" s="92"/>
      <x:c r="H164" s="92"/>
      <x:c r="I164" s="101"/>
      <x:c r="J164" s="107"/>
      <x:c r="K164" s="110" t="str">
        <x:f>IF(A164="","",IFERROR(VLOOKUP(C164,'Cấu hình'!$A$12:$D$19,2,FALSE),0))</x:f>
      </x:c>
      <x:c r="L164" s="92"/>
      <x:c r="M164" s="92"/>
      <x:c r="N164" s="95"/>
      <x:c r="O164" s="101"/>
      <x:c r="P164" s="101"/>
      <x:c r="Q164" s="101"/>
      <x:c r="R164" s="104" t="str">
        <x:f>IF(OR(P164="",D164=""),"",P164+IFERROR(VLOOKUP(D164,'Cấu hình'!$E$12:$G$15,3,FALSE),0))</x:f>
      </x:c>
      <x:c r="S164" s="101"/>
      <x:c r="T164" s="107"/>
      <x:c r="U164" s="113" t="str">
        <x:f>IF(A164="","",IF(S164&lt;&gt;"",0,IF(I164&lt;&gt;"",I164-TODAY(),IF(R164&lt;&gt;"",R164-TODAY(),""))))</x:f>
      </x:c>
      <x:c r="V164" s="113" t="str">
        <x:f>IF(A164="","",IF(S164&lt;&gt;"",MAX(0,S164-IF(I164&lt;&gt;"",I164,R164)),IF(OR(I164&lt;&gt;"",R164&lt;&gt;""),MAX(0,TODAY()-IF(I164&lt;&gt;"",I164,R164)),0)))</x:f>
      </x:c>
      <x:c r="W164" s="95"/>
      <x:c r="X164" s="95"/>
      <x:c r="Y164" s="92"/>
      <x:c r="Z164" s="92"/>
      <x:c r="AA164" s="92"/>
      <x:c r="AB164" s="92"/>
      <x:c r="AC164" s="113" t="str">
        <x:f>IF(A164="","",IF(P164="","",IF(S164&lt;&gt;"",S164-P164,TODAY()-P164)))</x:f>
      </x:c>
    </x:row>
    <x:row r="165" ht="28" customHeight="1">
      <x:c r="A165" s="92"/>
      <x:c r="B165" s="95"/>
      <x:c r="C165" s="92"/>
      <x:c r="D165" s="92"/>
      <x:c r="E165" s="92"/>
      <x:c r="F165" s="92"/>
      <x:c r="G165" s="92"/>
      <x:c r="H165" s="92"/>
      <x:c r="I165" s="101"/>
      <x:c r="J165" s="107"/>
      <x:c r="K165" s="110" t="str">
        <x:f>IF(A165="","",IFERROR(VLOOKUP(C165,'Cấu hình'!$A$12:$D$19,2,FALSE),0))</x:f>
      </x:c>
      <x:c r="L165" s="92"/>
      <x:c r="M165" s="92"/>
      <x:c r="N165" s="95"/>
      <x:c r="O165" s="101"/>
      <x:c r="P165" s="101"/>
      <x:c r="Q165" s="101"/>
      <x:c r="R165" s="104" t="str">
        <x:f>IF(OR(P165="",D165=""),"",P165+IFERROR(VLOOKUP(D165,'Cấu hình'!$E$12:$G$15,3,FALSE),0))</x:f>
      </x:c>
      <x:c r="S165" s="101"/>
      <x:c r="T165" s="107"/>
      <x:c r="U165" s="113" t="str">
        <x:f>IF(A165="","",IF(S165&lt;&gt;"",0,IF(I165&lt;&gt;"",I165-TODAY(),IF(R165&lt;&gt;"",R165-TODAY(),""))))</x:f>
      </x:c>
      <x:c r="V165" s="113" t="str">
        <x:f>IF(A165="","",IF(S165&lt;&gt;"",MAX(0,S165-IF(I165&lt;&gt;"",I165,R165)),IF(OR(I165&lt;&gt;"",R165&lt;&gt;""),MAX(0,TODAY()-IF(I165&lt;&gt;"",I165,R165)),0)))</x:f>
      </x:c>
      <x:c r="W165" s="95"/>
      <x:c r="X165" s="95"/>
      <x:c r="Y165" s="92"/>
      <x:c r="Z165" s="92"/>
      <x:c r="AA165" s="92"/>
      <x:c r="AB165" s="92"/>
      <x:c r="AC165" s="113" t="str">
        <x:f>IF(A165="","",IF(P165="","",IF(S165&lt;&gt;"",S165-P165,TODAY()-P165)))</x:f>
      </x:c>
    </x:row>
    <x:row r="166" ht="28" customHeight="1">
      <x:c r="A166" s="92"/>
      <x:c r="B166" s="95"/>
      <x:c r="C166" s="92"/>
      <x:c r="D166" s="92"/>
      <x:c r="E166" s="92"/>
      <x:c r="F166" s="92"/>
      <x:c r="G166" s="92"/>
      <x:c r="H166" s="92"/>
      <x:c r="I166" s="101"/>
      <x:c r="J166" s="107"/>
      <x:c r="K166" s="110" t="str">
        <x:f>IF(A166="","",IFERROR(VLOOKUP(C166,'Cấu hình'!$A$12:$D$19,2,FALSE),0))</x:f>
      </x:c>
      <x:c r="L166" s="92"/>
      <x:c r="M166" s="92"/>
      <x:c r="N166" s="95"/>
      <x:c r="O166" s="101"/>
      <x:c r="P166" s="101"/>
      <x:c r="Q166" s="101"/>
      <x:c r="R166" s="104" t="str">
        <x:f>IF(OR(P166="",D166=""),"",P166+IFERROR(VLOOKUP(D166,'Cấu hình'!$E$12:$G$15,3,FALSE),0))</x:f>
      </x:c>
      <x:c r="S166" s="101"/>
      <x:c r="T166" s="107"/>
      <x:c r="U166" s="113" t="str">
        <x:f>IF(A166="","",IF(S166&lt;&gt;"",0,IF(I166&lt;&gt;"",I166-TODAY(),IF(R166&lt;&gt;"",R166-TODAY(),""))))</x:f>
      </x:c>
      <x:c r="V166" s="113" t="str">
        <x:f>IF(A166="","",IF(S166&lt;&gt;"",MAX(0,S166-IF(I166&lt;&gt;"",I166,R166)),IF(OR(I166&lt;&gt;"",R166&lt;&gt;""),MAX(0,TODAY()-IF(I166&lt;&gt;"",I166,R166)),0)))</x:f>
      </x:c>
      <x:c r="W166" s="95"/>
      <x:c r="X166" s="95"/>
      <x:c r="Y166" s="92"/>
      <x:c r="Z166" s="92"/>
      <x:c r="AA166" s="92"/>
      <x:c r="AB166" s="92"/>
      <x:c r="AC166" s="113" t="str">
        <x:f>IF(A166="","",IF(P166="","",IF(S166&lt;&gt;"",S166-P166,TODAY()-P166)))</x:f>
      </x:c>
    </x:row>
    <x:row r="167" ht="28" customHeight="1">
      <x:c r="A167" s="92"/>
      <x:c r="B167" s="95"/>
      <x:c r="C167" s="92"/>
      <x:c r="D167" s="92"/>
      <x:c r="E167" s="92"/>
      <x:c r="F167" s="92"/>
      <x:c r="G167" s="92"/>
      <x:c r="H167" s="92"/>
      <x:c r="I167" s="101"/>
      <x:c r="J167" s="107"/>
      <x:c r="K167" s="110" t="str">
        <x:f>IF(A167="","",IFERROR(VLOOKUP(C167,'Cấu hình'!$A$12:$D$19,2,FALSE),0))</x:f>
      </x:c>
      <x:c r="L167" s="92"/>
      <x:c r="M167" s="92"/>
      <x:c r="N167" s="95"/>
      <x:c r="O167" s="101"/>
      <x:c r="P167" s="101"/>
      <x:c r="Q167" s="101"/>
      <x:c r="R167" s="104" t="str">
        <x:f>IF(OR(P167="",D167=""),"",P167+IFERROR(VLOOKUP(D167,'Cấu hình'!$E$12:$G$15,3,FALSE),0))</x:f>
      </x:c>
      <x:c r="S167" s="101"/>
      <x:c r="T167" s="107"/>
      <x:c r="U167" s="113" t="str">
        <x:f>IF(A167="","",IF(S167&lt;&gt;"",0,IF(I167&lt;&gt;"",I167-TODAY(),IF(R167&lt;&gt;"",R167-TODAY(),""))))</x:f>
      </x:c>
      <x:c r="V167" s="113" t="str">
        <x:f>IF(A167="","",IF(S167&lt;&gt;"",MAX(0,S167-IF(I167&lt;&gt;"",I167,R167)),IF(OR(I167&lt;&gt;"",R167&lt;&gt;""),MAX(0,TODAY()-IF(I167&lt;&gt;"",I167,R167)),0)))</x:f>
      </x:c>
      <x:c r="W167" s="95"/>
      <x:c r="X167" s="95"/>
      <x:c r="Y167" s="92"/>
      <x:c r="Z167" s="92"/>
      <x:c r="AA167" s="92"/>
      <x:c r="AB167" s="92"/>
      <x:c r="AC167" s="113" t="str">
        <x:f>IF(A167="","",IF(P167="","",IF(S167&lt;&gt;"",S167-P167,TODAY()-P167)))</x:f>
      </x:c>
    </x:row>
    <x:row r="168" ht="28" customHeight="1">
      <x:c r="A168" s="92"/>
      <x:c r="B168" s="95"/>
      <x:c r="C168" s="92"/>
      <x:c r="D168" s="92"/>
      <x:c r="E168" s="92"/>
      <x:c r="F168" s="92"/>
      <x:c r="G168" s="92"/>
      <x:c r="H168" s="92"/>
      <x:c r="I168" s="101"/>
      <x:c r="J168" s="107"/>
      <x:c r="K168" s="110" t="str">
        <x:f>IF(A168="","",IFERROR(VLOOKUP(C168,'Cấu hình'!$A$12:$D$19,2,FALSE),0))</x:f>
      </x:c>
      <x:c r="L168" s="92"/>
      <x:c r="M168" s="92"/>
      <x:c r="N168" s="95"/>
      <x:c r="O168" s="101"/>
      <x:c r="P168" s="101"/>
      <x:c r="Q168" s="101"/>
      <x:c r="R168" s="104" t="str">
        <x:f>IF(OR(P168="",D168=""),"",P168+IFERROR(VLOOKUP(D168,'Cấu hình'!$E$12:$G$15,3,FALSE),0))</x:f>
      </x:c>
      <x:c r="S168" s="101"/>
      <x:c r="T168" s="107"/>
      <x:c r="U168" s="113" t="str">
        <x:f>IF(A168="","",IF(S168&lt;&gt;"",0,IF(I168&lt;&gt;"",I168-TODAY(),IF(R168&lt;&gt;"",R168-TODAY(),""))))</x:f>
      </x:c>
      <x:c r="V168" s="113" t="str">
        <x:f>IF(A168="","",IF(S168&lt;&gt;"",MAX(0,S168-IF(I168&lt;&gt;"",I168,R168)),IF(OR(I168&lt;&gt;"",R168&lt;&gt;""),MAX(0,TODAY()-IF(I168&lt;&gt;"",I168,R168)),0)))</x:f>
      </x:c>
      <x:c r="W168" s="95"/>
      <x:c r="X168" s="95"/>
      <x:c r="Y168" s="92"/>
      <x:c r="Z168" s="92"/>
      <x:c r="AA168" s="92"/>
      <x:c r="AB168" s="92"/>
      <x:c r="AC168" s="113" t="str">
        <x:f>IF(A168="","",IF(P168="","",IF(S168&lt;&gt;"",S168-P168,TODAY()-P168)))</x:f>
      </x:c>
    </x:row>
    <x:row r="169" ht="28" customHeight="1">
      <x:c r="A169" s="92"/>
      <x:c r="B169" s="95"/>
      <x:c r="C169" s="92"/>
      <x:c r="D169" s="92"/>
      <x:c r="E169" s="92"/>
      <x:c r="F169" s="92"/>
      <x:c r="G169" s="92"/>
      <x:c r="H169" s="92"/>
      <x:c r="I169" s="101"/>
      <x:c r="J169" s="107"/>
      <x:c r="K169" s="110" t="str">
        <x:f>IF(A169="","",IFERROR(VLOOKUP(C169,'Cấu hình'!$A$12:$D$19,2,FALSE),0))</x:f>
      </x:c>
      <x:c r="L169" s="92"/>
      <x:c r="M169" s="92"/>
      <x:c r="N169" s="95"/>
      <x:c r="O169" s="101"/>
      <x:c r="P169" s="101"/>
      <x:c r="Q169" s="101"/>
      <x:c r="R169" s="104" t="str">
        <x:f>IF(OR(P169="",D169=""),"",P169+IFERROR(VLOOKUP(D169,'Cấu hình'!$E$12:$G$15,3,FALSE),0))</x:f>
      </x:c>
      <x:c r="S169" s="101"/>
      <x:c r="T169" s="107"/>
      <x:c r="U169" s="113" t="str">
        <x:f>IF(A169="","",IF(S169&lt;&gt;"",0,IF(I169&lt;&gt;"",I169-TODAY(),IF(R169&lt;&gt;"",R169-TODAY(),""))))</x:f>
      </x:c>
      <x:c r="V169" s="113" t="str">
        <x:f>IF(A169="","",IF(S169&lt;&gt;"",MAX(0,S169-IF(I169&lt;&gt;"",I169,R169)),IF(OR(I169&lt;&gt;"",R169&lt;&gt;""),MAX(0,TODAY()-IF(I169&lt;&gt;"",I169,R169)),0)))</x:f>
      </x:c>
      <x:c r="W169" s="95"/>
      <x:c r="X169" s="95"/>
      <x:c r="Y169" s="92"/>
      <x:c r="Z169" s="92"/>
      <x:c r="AA169" s="92"/>
      <x:c r="AB169" s="92"/>
      <x:c r="AC169" s="113" t="str">
        <x:f>IF(A169="","",IF(P169="","",IF(S169&lt;&gt;"",S169-P169,TODAY()-P169)))</x:f>
      </x:c>
    </x:row>
    <x:row r="170" ht="28" customHeight="1">
      <x:c r="A170" s="92"/>
      <x:c r="B170" s="95"/>
      <x:c r="C170" s="92"/>
      <x:c r="D170" s="92"/>
      <x:c r="E170" s="92"/>
      <x:c r="F170" s="92"/>
      <x:c r="G170" s="92"/>
      <x:c r="H170" s="92"/>
      <x:c r="I170" s="101"/>
      <x:c r="J170" s="107"/>
      <x:c r="K170" s="110" t="str">
        <x:f>IF(A170="","",IFERROR(VLOOKUP(C170,'Cấu hình'!$A$12:$D$19,2,FALSE),0))</x:f>
      </x:c>
      <x:c r="L170" s="92"/>
      <x:c r="M170" s="92"/>
      <x:c r="N170" s="95"/>
      <x:c r="O170" s="101"/>
      <x:c r="P170" s="101"/>
      <x:c r="Q170" s="101"/>
      <x:c r="R170" s="104" t="str">
        <x:f>IF(OR(P170="",D170=""),"",P170+IFERROR(VLOOKUP(D170,'Cấu hình'!$E$12:$G$15,3,FALSE),0))</x:f>
      </x:c>
      <x:c r="S170" s="101"/>
      <x:c r="T170" s="107"/>
      <x:c r="U170" s="113" t="str">
        <x:f>IF(A170="","",IF(S170&lt;&gt;"",0,IF(I170&lt;&gt;"",I170-TODAY(),IF(R170&lt;&gt;"",R170-TODAY(),""))))</x:f>
      </x:c>
      <x:c r="V170" s="113" t="str">
        <x:f>IF(A170="","",IF(S170&lt;&gt;"",MAX(0,S170-IF(I170&lt;&gt;"",I170,R170)),IF(OR(I170&lt;&gt;"",R170&lt;&gt;""),MAX(0,TODAY()-IF(I170&lt;&gt;"",I170,R170)),0)))</x:f>
      </x:c>
      <x:c r="W170" s="95"/>
      <x:c r="X170" s="95"/>
      <x:c r="Y170" s="92"/>
      <x:c r="Z170" s="92"/>
      <x:c r="AA170" s="92"/>
      <x:c r="AB170" s="92"/>
      <x:c r="AC170" s="113" t="str">
        <x:f>IF(A170="","",IF(P170="","",IF(S170&lt;&gt;"",S170-P170,TODAY()-P170)))</x:f>
      </x:c>
    </x:row>
    <x:row r="171" ht="28" customHeight="1">
      <x:c r="A171" s="92"/>
      <x:c r="B171" s="95"/>
      <x:c r="C171" s="92"/>
      <x:c r="D171" s="92"/>
      <x:c r="E171" s="92"/>
      <x:c r="F171" s="92"/>
      <x:c r="G171" s="92"/>
      <x:c r="H171" s="92"/>
      <x:c r="I171" s="101"/>
      <x:c r="J171" s="107"/>
      <x:c r="K171" s="110" t="str">
        <x:f>IF(A171="","",IFERROR(VLOOKUP(C171,'Cấu hình'!$A$12:$D$19,2,FALSE),0))</x:f>
      </x:c>
      <x:c r="L171" s="92"/>
      <x:c r="M171" s="92"/>
      <x:c r="N171" s="95"/>
      <x:c r="O171" s="101"/>
      <x:c r="P171" s="101"/>
      <x:c r="Q171" s="101"/>
      <x:c r="R171" s="104" t="str">
        <x:f>IF(OR(P171="",D171=""),"",P171+IFERROR(VLOOKUP(D171,'Cấu hình'!$E$12:$G$15,3,FALSE),0))</x:f>
      </x:c>
      <x:c r="S171" s="101"/>
      <x:c r="T171" s="107"/>
      <x:c r="U171" s="113" t="str">
        <x:f>IF(A171="","",IF(S171&lt;&gt;"",0,IF(I171&lt;&gt;"",I171-TODAY(),IF(R171&lt;&gt;"",R171-TODAY(),""))))</x:f>
      </x:c>
      <x:c r="V171" s="113" t="str">
        <x:f>IF(A171="","",IF(S171&lt;&gt;"",MAX(0,S171-IF(I171&lt;&gt;"",I171,R171)),IF(OR(I171&lt;&gt;"",R171&lt;&gt;""),MAX(0,TODAY()-IF(I171&lt;&gt;"",I171,R171)),0)))</x:f>
      </x:c>
      <x:c r="W171" s="95"/>
      <x:c r="X171" s="95"/>
      <x:c r="Y171" s="92"/>
      <x:c r="Z171" s="92"/>
      <x:c r="AA171" s="92"/>
      <x:c r="AB171" s="92"/>
      <x:c r="AC171" s="113" t="str">
        <x:f>IF(A171="","",IF(P171="","",IF(S171&lt;&gt;"",S171-P171,TODAY()-P171)))</x:f>
      </x:c>
    </x:row>
    <x:row r="172" ht="28" customHeight="1">
      <x:c r="A172" s="92"/>
      <x:c r="B172" s="95"/>
      <x:c r="C172" s="92"/>
      <x:c r="D172" s="92"/>
      <x:c r="E172" s="92"/>
      <x:c r="F172" s="92"/>
      <x:c r="G172" s="92"/>
      <x:c r="H172" s="92"/>
      <x:c r="I172" s="101"/>
      <x:c r="J172" s="107"/>
      <x:c r="K172" s="110" t="str">
        <x:f>IF(A172="","",IFERROR(VLOOKUP(C172,'Cấu hình'!$A$12:$D$19,2,FALSE),0))</x:f>
      </x:c>
      <x:c r="L172" s="92"/>
      <x:c r="M172" s="92"/>
      <x:c r="N172" s="95"/>
      <x:c r="O172" s="101"/>
      <x:c r="P172" s="101"/>
      <x:c r="Q172" s="101"/>
      <x:c r="R172" s="104" t="str">
        <x:f>IF(OR(P172="",D172=""),"",P172+IFERROR(VLOOKUP(D172,'Cấu hình'!$E$12:$G$15,3,FALSE),0))</x:f>
      </x:c>
      <x:c r="S172" s="101"/>
      <x:c r="T172" s="107"/>
      <x:c r="U172" s="113" t="str">
        <x:f>IF(A172="","",IF(S172&lt;&gt;"",0,IF(I172&lt;&gt;"",I172-TODAY(),IF(R172&lt;&gt;"",R172-TODAY(),""))))</x:f>
      </x:c>
      <x:c r="V172" s="113" t="str">
        <x:f>IF(A172="","",IF(S172&lt;&gt;"",MAX(0,S172-IF(I172&lt;&gt;"",I172,R172)),IF(OR(I172&lt;&gt;"",R172&lt;&gt;""),MAX(0,TODAY()-IF(I172&lt;&gt;"",I172,R172)),0)))</x:f>
      </x:c>
      <x:c r="W172" s="95"/>
      <x:c r="X172" s="95"/>
      <x:c r="Y172" s="92"/>
      <x:c r="Z172" s="92"/>
      <x:c r="AA172" s="92"/>
      <x:c r="AB172" s="92"/>
      <x:c r="AC172" s="113" t="str">
        <x:f>IF(A172="","",IF(P172="","",IF(S172&lt;&gt;"",S172-P172,TODAY()-P172)))</x:f>
      </x:c>
    </x:row>
    <x:row r="173" ht="28" customHeight="1">
      <x:c r="A173" s="92"/>
      <x:c r="B173" s="95"/>
      <x:c r="C173" s="92"/>
      <x:c r="D173" s="92"/>
      <x:c r="E173" s="92"/>
      <x:c r="F173" s="92"/>
      <x:c r="G173" s="92"/>
      <x:c r="H173" s="92"/>
      <x:c r="I173" s="101"/>
      <x:c r="J173" s="107"/>
      <x:c r="K173" s="110" t="str">
        <x:f>IF(A173="","",IFERROR(VLOOKUP(C173,'Cấu hình'!$A$12:$D$19,2,FALSE),0))</x:f>
      </x:c>
      <x:c r="L173" s="92"/>
      <x:c r="M173" s="92"/>
      <x:c r="N173" s="95"/>
      <x:c r="O173" s="101"/>
      <x:c r="P173" s="101"/>
      <x:c r="Q173" s="101"/>
      <x:c r="R173" s="104" t="str">
        <x:f>IF(OR(P173="",D173=""),"",P173+IFERROR(VLOOKUP(D173,'Cấu hình'!$E$12:$G$15,3,FALSE),0))</x:f>
      </x:c>
      <x:c r="S173" s="101"/>
      <x:c r="T173" s="107"/>
      <x:c r="U173" s="113" t="str">
        <x:f>IF(A173="","",IF(S173&lt;&gt;"",0,IF(I173&lt;&gt;"",I173-TODAY(),IF(R173&lt;&gt;"",R173-TODAY(),""))))</x:f>
      </x:c>
      <x:c r="V173" s="113" t="str">
        <x:f>IF(A173="","",IF(S173&lt;&gt;"",MAX(0,S173-IF(I173&lt;&gt;"",I173,R173)),IF(OR(I173&lt;&gt;"",R173&lt;&gt;""),MAX(0,TODAY()-IF(I173&lt;&gt;"",I173,R173)),0)))</x:f>
      </x:c>
      <x:c r="W173" s="95"/>
      <x:c r="X173" s="95"/>
      <x:c r="Y173" s="92"/>
      <x:c r="Z173" s="92"/>
      <x:c r="AA173" s="92"/>
      <x:c r="AB173" s="92"/>
      <x:c r="AC173" s="113" t="str">
        <x:f>IF(A173="","",IF(P173="","",IF(S173&lt;&gt;"",S173-P173,TODAY()-P173)))</x:f>
      </x:c>
    </x:row>
    <x:row r="174" ht="28" customHeight="1">
      <x:c r="A174" s="92"/>
      <x:c r="B174" s="95"/>
      <x:c r="C174" s="92"/>
      <x:c r="D174" s="92"/>
      <x:c r="E174" s="92"/>
      <x:c r="F174" s="92"/>
      <x:c r="G174" s="92"/>
      <x:c r="H174" s="92"/>
      <x:c r="I174" s="101"/>
      <x:c r="J174" s="107"/>
      <x:c r="K174" s="110" t="str">
        <x:f>IF(A174="","",IFERROR(VLOOKUP(C174,'Cấu hình'!$A$12:$D$19,2,FALSE),0))</x:f>
      </x:c>
      <x:c r="L174" s="92"/>
      <x:c r="M174" s="92"/>
      <x:c r="N174" s="95"/>
      <x:c r="O174" s="101"/>
      <x:c r="P174" s="101"/>
      <x:c r="Q174" s="101"/>
      <x:c r="R174" s="104" t="str">
        <x:f>IF(OR(P174="",D174=""),"",P174+IFERROR(VLOOKUP(D174,'Cấu hình'!$E$12:$G$15,3,FALSE),0))</x:f>
      </x:c>
      <x:c r="S174" s="101"/>
      <x:c r="T174" s="107"/>
      <x:c r="U174" s="113" t="str">
        <x:f>IF(A174="","",IF(S174&lt;&gt;"",0,IF(I174&lt;&gt;"",I174-TODAY(),IF(R174&lt;&gt;"",R174-TODAY(),""))))</x:f>
      </x:c>
      <x:c r="V174" s="113" t="str">
        <x:f>IF(A174="","",IF(S174&lt;&gt;"",MAX(0,S174-IF(I174&lt;&gt;"",I174,R174)),IF(OR(I174&lt;&gt;"",R174&lt;&gt;""),MAX(0,TODAY()-IF(I174&lt;&gt;"",I174,R174)),0)))</x:f>
      </x:c>
      <x:c r="W174" s="95"/>
      <x:c r="X174" s="95"/>
      <x:c r="Y174" s="92"/>
      <x:c r="Z174" s="92"/>
      <x:c r="AA174" s="92"/>
      <x:c r="AB174" s="92"/>
      <x:c r="AC174" s="113" t="str">
        <x:f>IF(A174="","",IF(P174="","",IF(S174&lt;&gt;"",S174-P174,TODAY()-P174)))</x:f>
      </x:c>
    </x:row>
    <x:row r="175" ht="28" customHeight="1">
      <x:c r="A175" s="92"/>
      <x:c r="B175" s="95"/>
      <x:c r="C175" s="92"/>
      <x:c r="D175" s="92"/>
      <x:c r="E175" s="92"/>
      <x:c r="F175" s="92"/>
      <x:c r="G175" s="92"/>
      <x:c r="H175" s="92"/>
      <x:c r="I175" s="101"/>
      <x:c r="J175" s="107"/>
      <x:c r="K175" s="110" t="str">
        <x:f>IF(A175="","",IFERROR(VLOOKUP(C175,'Cấu hình'!$A$12:$D$19,2,FALSE),0))</x:f>
      </x:c>
      <x:c r="L175" s="92"/>
      <x:c r="M175" s="92"/>
      <x:c r="N175" s="95"/>
      <x:c r="O175" s="101"/>
      <x:c r="P175" s="101"/>
      <x:c r="Q175" s="101"/>
      <x:c r="R175" s="104" t="str">
        <x:f>IF(OR(P175="",D175=""),"",P175+IFERROR(VLOOKUP(D175,'Cấu hình'!$E$12:$G$15,3,FALSE),0))</x:f>
      </x:c>
      <x:c r="S175" s="101"/>
      <x:c r="T175" s="107"/>
      <x:c r="U175" s="113" t="str">
        <x:f>IF(A175="","",IF(S175&lt;&gt;"",0,IF(I175&lt;&gt;"",I175-TODAY(),IF(R175&lt;&gt;"",R175-TODAY(),""))))</x:f>
      </x:c>
      <x:c r="V175" s="113" t="str">
        <x:f>IF(A175="","",IF(S175&lt;&gt;"",MAX(0,S175-IF(I175&lt;&gt;"",I175,R175)),IF(OR(I175&lt;&gt;"",R175&lt;&gt;""),MAX(0,TODAY()-IF(I175&lt;&gt;"",I175,R175)),0)))</x:f>
      </x:c>
      <x:c r="W175" s="95"/>
      <x:c r="X175" s="95"/>
      <x:c r="Y175" s="92"/>
      <x:c r="Z175" s="92"/>
      <x:c r="AA175" s="92"/>
      <x:c r="AB175" s="92"/>
      <x:c r="AC175" s="113" t="str">
        <x:f>IF(A175="","",IF(P175="","",IF(S175&lt;&gt;"",S175-P175,TODAY()-P175)))</x:f>
      </x:c>
    </x:row>
    <x:row r="176" ht="28" customHeight="1">
      <x:c r="A176" s="92"/>
      <x:c r="B176" s="95"/>
      <x:c r="C176" s="92"/>
      <x:c r="D176" s="92"/>
      <x:c r="E176" s="92"/>
      <x:c r="F176" s="92"/>
      <x:c r="G176" s="92"/>
      <x:c r="H176" s="92"/>
      <x:c r="I176" s="101"/>
      <x:c r="J176" s="107"/>
      <x:c r="K176" s="110" t="str">
        <x:f>IF(A176="","",IFERROR(VLOOKUP(C176,'Cấu hình'!$A$12:$D$19,2,FALSE),0))</x:f>
      </x:c>
      <x:c r="L176" s="92"/>
      <x:c r="M176" s="92"/>
      <x:c r="N176" s="95"/>
      <x:c r="O176" s="101"/>
      <x:c r="P176" s="101"/>
      <x:c r="Q176" s="101"/>
      <x:c r="R176" s="104" t="str">
        <x:f>IF(OR(P176="",D176=""),"",P176+IFERROR(VLOOKUP(D176,'Cấu hình'!$E$12:$G$15,3,FALSE),0))</x:f>
      </x:c>
      <x:c r="S176" s="101"/>
      <x:c r="T176" s="107"/>
      <x:c r="U176" s="113" t="str">
        <x:f>IF(A176="","",IF(S176&lt;&gt;"",0,IF(I176&lt;&gt;"",I176-TODAY(),IF(R176&lt;&gt;"",R176-TODAY(),""))))</x:f>
      </x:c>
      <x:c r="V176" s="113" t="str">
        <x:f>IF(A176="","",IF(S176&lt;&gt;"",MAX(0,S176-IF(I176&lt;&gt;"",I176,R176)),IF(OR(I176&lt;&gt;"",R176&lt;&gt;""),MAX(0,TODAY()-IF(I176&lt;&gt;"",I176,R176)),0)))</x:f>
      </x:c>
      <x:c r="W176" s="95"/>
      <x:c r="X176" s="95"/>
      <x:c r="Y176" s="92"/>
      <x:c r="Z176" s="92"/>
      <x:c r="AA176" s="92"/>
      <x:c r="AB176" s="92"/>
      <x:c r="AC176" s="113" t="str">
        <x:f>IF(A176="","",IF(P176="","",IF(S176&lt;&gt;"",S176-P176,TODAY()-P176)))</x:f>
      </x:c>
    </x:row>
    <x:row r="177" ht="28" customHeight="1">
      <x:c r="A177" s="92"/>
      <x:c r="B177" s="95"/>
      <x:c r="C177" s="92"/>
      <x:c r="D177" s="92"/>
      <x:c r="E177" s="92"/>
      <x:c r="F177" s="92"/>
      <x:c r="G177" s="92"/>
      <x:c r="H177" s="92"/>
      <x:c r="I177" s="101"/>
      <x:c r="J177" s="107"/>
      <x:c r="K177" s="110" t="str">
        <x:f>IF(A177="","",IFERROR(VLOOKUP(C177,'Cấu hình'!$A$12:$D$19,2,FALSE),0))</x:f>
      </x:c>
      <x:c r="L177" s="92"/>
      <x:c r="M177" s="92"/>
      <x:c r="N177" s="95"/>
      <x:c r="O177" s="101"/>
      <x:c r="P177" s="101"/>
      <x:c r="Q177" s="101"/>
      <x:c r="R177" s="104" t="str">
        <x:f>IF(OR(P177="",D177=""),"",P177+IFERROR(VLOOKUP(D177,'Cấu hình'!$E$12:$G$15,3,FALSE),0))</x:f>
      </x:c>
      <x:c r="S177" s="101"/>
      <x:c r="T177" s="107"/>
      <x:c r="U177" s="113" t="str">
        <x:f>IF(A177="","",IF(S177&lt;&gt;"",0,IF(I177&lt;&gt;"",I177-TODAY(),IF(R177&lt;&gt;"",R177-TODAY(),""))))</x:f>
      </x:c>
      <x:c r="V177" s="113" t="str">
        <x:f>IF(A177="","",IF(S177&lt;&gt;"",MAX(0,S177-IF(I177&lt;&gt;"",I177,R177)),IF(OR(I177&lt;&gt;"",R177&lt;&gt;""),MAX(0,TODAY()-IF(I177&lt;&gt;"",I177,R177)),0)))</x:f>
      </x:c>
      <x:c r="W177" s="95"/>
      <x:c r="X177" s="95"/>
      <x:c r="Y177" s="92"/>
      <x:c r="Z177" s="92"/>
      <x:c r="AA177" s="92"/>
      <x:c r="AB177" s="92"/>
      <x:c r="AC177" s="113" t="str">
        <x:f>IF(A177="","",IF(P177="","",IF(S177&lt;&gt;"",S177-P177,TODAY()-P177)))</x:f>
      </x:c>
    </x:row>
    <x:row r="178" ht="28" customHeight="1">
      <x:c r="A178" s="92"/>
      <x:c r="B178" s="95"/>
      <x:c r="C178" s="92"/>
      <x:c r="D178" s="92"/>
      <x:c r="E178" s="92"/>
      <x:c r="F178" s="92"/>
      <x:c r="G178" s="92"/>
      <x:c r="H178" s="92"/>
      <x:c r="I178" s="101"/>
      <x:c r="J178" s="107"/>
      <x:c r="K178" s="110" t="str">
        <x:f>IF(A178="","",IFERROR(VLOOKUP(C178,'Cấu hình'!$A$12:$D$19,2,FALSE),0))</x:f>
      </x:c>
      <x:c r="L178" s="92"/>
      <x:c r="M178" s="92"/>
      <x:c r="N178" s="95"/>
      <x:c r="O178" s="101"/>
      <x:c r="P178" s="101"/>
      <x:c r="Q178" s="101"/>
      <x:c r="R178" s="104" t="str">
        <x:f>IF(OR(P178="",D178=""),"",P178+IFERROR(VLOOKUP(D178,'Cấu hình'!$E$12:$G$15,3,FALSE),0))</x:f>
      </x:c>
      <x:c r="S178" s="101"/>
      <x:c r="T178" s="107"/>
      <x:c r="U178" s="113" t="str">
        <x:f>IF(A178="","",IF(S178&lt;&gt;"",0,IF(I178&lt;&gt;"",I178-TODAY(),IF(R178&lt;&gt;"",R178-TODAY(),""))))</x:f>
      </x:c>
      <x:c r="V178" s="113" t="str">
        <x:f>IF(A178="","",IF(S178&lt;&gt;"",MAX(0,S178-IF(I178&lt;&gt;"",I178,R178)),IF(OR(I178&lt;&gt;"",R178&lt;&gt;""),MAX(0,TODAY()-IF(I178&lt;&gt;"",I178,R178)),0)))</x:f>
      </x:c>
      <x:c r="W178" s="95"/>
      <x:c r="X178" s="95"/>
      <x:c r="Y178" s="92"/>
      <x:c r="Z178" s="92"/>
      <x:c r="AA178" s="92"/>
      <x:c r="AB178" s="92"/>
      <x:c r="AC178" s="113" t="str">
        <x:f>IF(A178="","",IF(P178="","",IF(S178&lt;&gt;"",S178-P178,TODAY()-P178)))</x:f>
      </x:c>
    </x:row>
    <x:row r="179" ht="28" customHeight="1">
      <x:c r="A179" s="92"/>
      <x:c r="B179" s="95"/>
      <x:c r="C179" s="92"/>
      <x:c r="D179" s="92"/>
      <x:c r="E179" s="92"/>
      <x:c r="F179" s="92"/>
      <x:c r="G179" s="92"/>
      <x:c r="H179" s="92"/>
      <x:c r="I179" s="101"/>
      <x:c r="J179" s="107"/>
      <x:c r="K179" s="110" t="str">
        <x:f>IF(A179="","",IFERROR(VLOOKUP(C179,'Cấu hình'!$A$12:$D$19,2,FALSE),0))</x:f>
      </x:c>
      <x:c r="L179" s="92"/>
      <x:c r="M179" s="92"/>
      <x:c r="N179" s="95"/>
      <x:c r="O179" s="101"/>
      <x:c r="P179" s="101"/>
      <x:c r="Q179" s="101"/>
      <x:c r="R179" s="104" t="str">
        <x:f>IF(OR(P179="",D179=""),"",P179+IFERROR(VLOOKUP(D179,'Cấu hình'!$E$12:$G$15,3,FALSE),0))</x:f>
      </x:c>
      <x:c r="S179" s="101"/>
      <x:c r="T179" s="107"/>
      <x:c r="U179" s="113" t="str">
        <x:f>IF(A179="","",IF(S179&lt;&gt;"",0,IF(I179&lt;&gt;"",I179-TODAY(),IF(R179&lt;&gt;"",R179-TODAY(),""))))</x:f>
      </x:c>
      <x:c r="V179" s="113" t="str">
        <x:f>IF(A179="","",IF(S179&lt;&gt;"",MAX(0,S179-IF(I179&lt;&gt;"",I179,R179)),IF(OR(I179&lt;&gt;"",R179&lt;&gt;""),MAX(0,TODAY()-IF(I179&lt;&gt;"",I179,R179)),0)))</x:f>
      </x:c>
      <x:c r="W179" s="95"/>
      <x:c r="X179" s="95"/>
      <x:c r="Y179" s="92"/>
      <x:c r="Z179" s="92"/>
      <x:c r="AA179" s="92"/>
      <x:c r="AB179" s="92"/>
      <x:c r="AC179" s="113" t="str">
        <x:f>IF(A179="","",IF(P179="","",IF(S179&lt;&gt;"",S179-P179,TODAY()-P179)))</x:f>
      </x:c>
    </x:row>
    <x:row r="180" ht="28" customHeight="1">
      <x:c r="A180" s="92"/>
      <x:c r="B180" s="95"/>
      <x:c r="C180" s="92"/>
      <x:c r="D180" s="92"/>
      <x:c r="E180" s="92"/>
      <x:c r="F180" s="92"/>
      <x:c r="G180" s="92"/>
      <x:c r="H180" s="92"/>
      <x:c r="I180" s="101"/>
      <x:c r="J180" s="107"/>
      <x:c r="K180" s="110" t="str">
        <x:f>IF(A180="","",IFERROR(VLOOKUP(C180,'Cấu hình'!$A$12:$D$19,2,FALSE),0))</x:f>
      </x:c>
      <x:c r="L180" s="92"/>
      <x:c r="M180" s="92"/>
      <x:c r="N180" s="95"/>
      <x:c r="O180" s="101"/>
      <x:c r="P180" s="101"/>
      <x:c r="Q180" s="101"/>
      <x:c r="R180" s="104" t="str">
        <x:f>IF(OR(P180="",D180=""),"",P180+IFERROR(VLOOKUP(D180,'Cấu hình'!$E$12:$G$15,3,FALSE),0))</x:f>
      </x:c>
      <x:c r="S180" s="101"/>
      <x:c r="T180" s="107"/>
      <x:c r="U180" s="113" t="str">
        <x:f>IF(A180="","",IF(S180&lt;&gt;"",0,IF(I180&lt;&gt;"",I180-TODAY(),IF(R180&lt;&gt;"",R180-TODAY(),""))))</x:f>
      </x:c>
      <x:c r="V180" s="113" t="str">
        <x:f>IF(A180="","",IF(S180&lt;&gt;"",MAX(0,S180-IF(I180&lt;&gt;"",I180,R180)),IF(OR(I180&lt;&gt;"",R180&lt;&gt;""),MAX(0,TODAY()-IF(I180&lt;&gt;"",I180,R180)),0)))</x:f>
      </x:c>
      <x:c r="W180" s="95"/>
      <x:c r="X180" s="95"/>
      <x:c r="Y180" s="92"/>
      <x:c r="Z180" s="92"/>
      <x:c r="AA180" s="92"/>
      <x:c r="AB180" s="92"/>
      <x:c r="AC180" s="113" t="str">
        <x:f>IF(A180="","",IF(P180="","",IF(S180&lt;&gt;"",S180-P180,TODAY()-P180)))</x:f>
      </x:c>
    </x:row>
    <x:row r="181" ht="28" customHeight="1">
      <x:c r="A181" s="92"/>
      <x:c r="B181" s="95"/>
      <x:c r="C181" s="92"/>
      <x:c r="D181" s="92"/>
      <x:c r="E181" s="92"/>
      <x:c r="F181" s="92"/>
      <x:c r="G181" s="92"/>
      <x:c r="H181" s="92"/>
      <x:c r="I181" s="101"/>
      <x:c r="J181" s="107"/>
      <x:c r="K181" s="110" t="str">
        <x:f>IF(A181="","",IFERROR(VLOOKUP(C181,'Cấu hình'!$A$12:$D$19,2,FALSE),0))</x:f>
      </x:c>
      <x:c r="L181" s="92"/>
      <x:c r="M181" s="92"/>
      <x:c r="N181" s="95"/>
      <x:c r="O181" s="101"/>
      <x:c r="P181" s="101"/>
      <x:c r="Q181" s="101"/>
      <x:c r="R181" s="104" t="str">
        <x:f>IF(OR(P181="",D181=""),"",P181+IFERROR(VLOOKUP(D181,'Cấu hình'!$E$12:$G$15,3,FALSE),0))</x:f>
      </x:c>
      <x:c r="S181" s="101"/>
      <x:c r="T181" s="107"/>
      <x:c r="U181" s="113" t="str">
        <x:f>IF(A181="","",IF(S181&lt;&gt;"",0,IF(I181&lt;&gt;"",I181-TODAY(),IF(R181&lt;&gt;"",R181-TODAY(),""))))</x:f>
      </x:c>
      <x:c r="V181" s="113" t="str">
        <x:f>IF(A181="","",IF(S181&lt;&gt;"",MAX(0,S181-IF(I181&lt;&gt;"",I181,R181)),IF(OR(I181&lt;&gt;"",R181&lt;&gt;""),MAX(0,TODAY()-IF(I181&lt;&gt;"",I181,R181)),0)))</x:f>
      </x:c>
      <x:c r="W181" s="95"/>
      <x:c r="X181" s="95"/>
      <x:c r="Y181" s="92"/>
      <x:c r="Z181" s="92"/>
      <x:c r="AA181" s="92"/>
      <x:c r="AB181" s="92"/>
      <x:c r="AC181" s="113" t="str">
        <x:f>IF(A181="","",IF(P181="","",IF(S181&lt;&gt;"",S181-P181,TODAY()-P181)))</x:f>
      </x:c>
    </x:row>
    <x:row r="182" ht="28" customHeight="1">
      <x:c r="A182" s="92"/>
      <x:c r="B182" s="95"/>
      <x:c r="C182" s="92"/>
      <x:c r="D182" s="92"/>
      <x:c r="E182" s="92"/>
      <x:c r="F182" s="92"/>
      <x:c r="G182" s="92"/>
      <x:c r="H182" s="92"/>
      <x:c r="I182" s="101"/>
      <x:c r="J182" s="107"/>
      <x:c r="K182" s="110" t="str">
        <x:f>IF(A182="","",IFERROR(VLOOKUP(C182,'Cấu hình'!$A$12:$D$19,2,FALSE),0))</x:f>
      </x:c>
      <x:c r="L182" s="92"/>
      <x:c r="M182" s="92"/>
      <x:c r="N182" s="95"/>
      <x:c r="O182" s="101"/>
      <x:c r="P182" s="101"/>
      <x:c r="Q182" s="101"/>
      <x:c r="R182" s="104" t="str">
        <x:f>IF(OR(P182="",D182=""),"",P182+IFERROR(VLOOKUP(D182,'Cấu hình'!$E$12:$G$15,3,FALSE),0))</x:f>
      </x:c>
      <x:c r="S182" s="101"/>
      <x:c r="T182" s="107"/>
      <x:c r="U182" s="113" t="str">
        <x:f>IF(A182="","",IF(S182&lt;&gt;"",0,IF(I182&lt;&gt;"",I182-TODAY(),IF(R182&lt;&gt;"",R182-TODAY(),""))))</x:f>
      </x:c>
      <x:c r="V182" s="113" t="str">
        <x:f>IF(A182="","",IF(S182&lt;&gt;"",MAX(0,S182-IF(I182&lt;&gt;"",I182,R182)),IF(OR(I182&lt;&gt;"",R182&lt;&gt;""),MAX(0,TODAY()-IF(I182&lt;&gt;"",I182,R182)),0)))</x:f>
      </x:c>
      <x:c r="W182" s="95"/>
      <x:c r="X182" s="95"/>
      <x:c r="Y182" s="92"/>
      <x:c r="Z182" s="92"/>
      <x:c r="AA182" s="92"/>
      <x:c r="AB182" s="92"/>
      <x:c r="AC182" s="113" t="str">
        <x:f>IF(A182="","",IF(P182="","",IF(S182&lt;&gt;"",S182-P182,TODAY()-P182)))</x:f>
      </x:c>
    </x:row>
    <x:row r="183" ht="28" customHeight="1">
      <x:c r="A183" s="92"/>
      <x:c r="B183" s="95"/>
      <x:c r="C183" s="92"/>
      <x:c r="D183" s="92"/>
      <x:c r="E183" s="92"/>
      <x:c r="F183" s="92"/>
      <x:c r="G183" s="92"/>
      <x:c r="H183" s="92"/>
      <x:c r="I183" s="101"/>
      <x:c r="J183" s="107"/>
      <x:c r="K183" s="110" t="str">
        <x:f>IF(A183="","",IFERROR(VLOOKUP(C183,'Cấu hình'!$A$12:$D$19,2,FALSE),0))</x:f>
      </x:c>
      <x:c r="L183" s="92"/>
      <x:c r="M183" s="92"/>
      <x:c r="N183" s="95"/>
      <x:c r="O183" s="101"/>
      <x:c r="P183" s="101"/>
      <x:c r="Q183" s="101"/>
      <x:c r="R183" s="104" t="str">
        <x:f>IF(OR(P183="",D183=""),"",P183+IFERROR(VLOOKUP(D183,'Cấu hình'!$E$12:$G$15,3,FALSE),0))</x:f>
      </x:c>
      <x:c r="S183" s="101"/>
      <x:c r="T183" s="107"/>
      <x:c r="U183" s="113" t="str">
        <x:f>IF(A183="","",IF(S183&lt;&gt;"",0,IF(I183&lt;&gt;"",I183-TODAY(),IF(R183&lt;&gt;"",R183-TODAY(),""))))</x:f>
      </x:c>
      <x:c r="V183" s="113" t="str">
        <x:f>IF(A183="","",IF(S183&lt;&gt;"",MAX(0,S183-IF(I183&lt;&gt;"",I183,R183)),IF(OR(I183&lt;&gt;"",R183&lt;&gt;""),MAX(0,TODAY()-IF(I183&lt;&gt;"",I183,R183)),0)))</x:f>
      </x:c>
      <x:c r="W183" s="95"/>
      <x:c r="X183" s="95"/>
      <x:c r="Y183" s="92"/>
      <x:c r="Z183" s="92"/>
      <x:c r="AA183" s="92"/>
      <x:c r="AB183" s="92"/>
      <x:c r="AC183" s="113" t="str">
        <x:f>IF(A183="","",IF(P183="","",IF(S183&lt;&gt;"",S183-P183,TODAY()-P183)))</x:f>
      </x:c>
    </x:row>
    <x:row r="184" ht="28" customHeight="1">
      <x:c r="A184" s="92"/>
      <x:c r="B184" s="95"/>
      <x:c r="C184" s="92"/>
      <x:c r="D184" s="92"/>
      <x:c r="E184" s="92"/>
      <x:c r="F184" s="92"/>
      <x:c r="G184" s="92"/>
      <x:c r="H184" s="92"/>
      <x:c r="I184" s="101"/>
      <x:c r="J184" s="107"/>
      <x:c r="K184" s="110" t="str">
        <x:f>IF(A184="","",IFERROR(VLOOKUP(C184,'Cấu hình'!$A$12:$D$19,2,FALSE),0))</x:f>
      </x:c>
      <x:c r="L184" s="92"/>
      <x:c r="M184" s="92"/>
      <x:c r="N184" s="95"/>
      <x:c r="O184" s="101"/>
      <x:c r="P184" s="101"/>
      <x:c r="Q184" s="101"/>
      <x:c r="R184" s="104" t="str">
        <x:f>IF(OR(P184="",D184=""),"",P184+IFERROR(VLOOKUP(D184,'Cấu hình'!$E$12:$G$15,3,FALSE),0))</x:f>
      </x:c>
      <x:c r="S184" s="101"/>
      <x:c r="T184" s="107"/>
      <x:c r="U184" s="113" t="str">
        <x:f>IF(A184="","",IF(S184&lt;&gt;"",0,IF(I184&lt;&gt;"",I184-TODAY(),IF(R184&lt;&gt;"",R184-TODAY(),""))))</x:f>
      </x:c>
      <x:c r="V184" s="113" t="str">
        <x:f>IF(A184="","",IF(S184&lt;&gt;"",MAX(0,S184-IF(I184&lt;&gt;"",I184,R184)),IF(OR(I184&lt;&gt;"",R184&lt;&gt;""),MAX(0,TODAY()-IF(I184&lt;&gt;"",I184,R184)),0)))</x:f>
      </x:c>
      <x:c r="W184" s="95"/>
      <x:c r="X184" s="95"/>
      <x:c r="Y184" s="92"/>
      <x:c r="Z184" s="92"/>
      <x:c r="AA184" s="92"/>
      <x:c r="AB184" s="92"/>
      <x:c r="AC184" s="113" t="str">
        <x:f>IF(A184="","",IF(P184="","",IF(S184&lt;&gt;"",S184-P184,TODAY()-P184)))</x:f>
      </x:c>
    </x:row>
    <x:row r="185" ht="28" customHeight="1">
      <x:c r="A185" s="92"/>
      <x:c r="B185" s="95"/>
      <x:c r="C185" s="92"/>
      <x:c r="D185" s="92"/>
      <x:c r="E185" s="92"/>
      <x:c r="F185" s="92"/>
      <x:c r="G185" s="92"/>
      <x:c r="H185" s="92"/>
      <x:c r="I185" s="101"/>
      <x:c r="J185" s="107"/>
      <x:c r="K185" s="110" t="str">
        <x:f>IF(A185="","",IFERROR(VLOOKUP(C185,'Cấu hình'!$A$12:$D$19,2,FALSE),0))</x:f>
      </x:c>
      <x:c r="L185" s="92"/>
      <x:c r="M185" s="92"/>
      <x:c r="N185" s="95"/>
      <x:c r="O185" s="101"/>
      <x:c r="P185" s="101"/>
      <x:c r="Q185" s="101"/>
      <x:c r="R185" s="104" t="str">
        <x:f>IF(OR(P185="",D185=""),"",P185+IFERROR(VLOOKUP(D185,'Cấu hình'!$E$12:$G$15,3,FALSE),0))</x:f>
      </x:c>
      <x:c r="S185" s="101"/>
      <x:c r="T185" s="107"/>
      <x:c r="U185" s="113" t="str">
        <x:f>IF(A185="","",IF(S185&lt;&gt;"",0,IF(I185&lt;&gt;"",I185-TODAY(),IF(R185&lt;&gt;"",R185-TODAY(),""))))</x:f>
      </x:c>
      <x:c r="V185" s="113" t="str">
        <x:f>IF(A185="","",IF(S185&lt;&gt;"",MAX(0,S185-IF(I185&lt;&gt;"",I185,R185)),IF(OR(I185&lt;&gt;"",R185&lt;&gt;""),MAX(0,TODAY()-IF(I185&lt;&gt;"",I185,R185)),0)))</x:f>
      </x:c>
      <x:c r="W185" s="95"/>
      <x:c r="X185" s="95"/>
      <x:c r="Y185" s="92"/>
      <x:c r="Z185" s="92"/>
      <x:c r="AA185" s="92"/>
      <x:c r="AB185" s="92"/>
      <x:c r="AC185" s="113" t="str">
        <x:f>IF(A185="","",IF(P185="","",IF(S185&lt;&gt;"",S185-P185,TODAY()-P185)))</x:f>
      </x:c>
    </x:row>
    <x:row r="186" ht="28" customHeight="1">
      <x:c r="A186" s="92"/>
      <x:c r="B186" s="95"/>
      <x:c r="C186" s="92"/>
      <x:c r="D186" s="92"/>
      <x:c r="E186" s="92"/>
      <x:c r="F186" s="92"/>
      <x:c r="G186" s="92"/>
      <x:c r="H186" s="92"/>
      <x:c r="I186" s="101"/>
      <x:c r="J186" s="107"/>
      <x:c r="K186" s="110" t="str">
        <x:f>IF(A186="","",IFERROR(VLOOKUP(C186,'Cấu hình'!$A$12:$D$19,2,FALSE),0))</x:f>
      </x:c>
      <x:c r="L186" s="92"/>
      <x:c r="M186" s="92"/>
      <x:c r="N186" s="95"/>
      <x:c r="O186" s="101"/>
      <x:c r="P186" s="101"/>
      <x:c r="Q186" s="101"/>
      <x:c r="R186" s="104" t="str">
        <x:f>IF(OR(P186="",D186=""),"",P186+IFERROR(VLOOKUP(D186,'Cấu hình'!$E$12:$G$15,3,FALSE),0))</x:f>
      </x:c>
      <x:c r="S186" s="101"/>
      <x:c r="T186" s="107"/>
      <x:c r="U186" s="113" t="str">
        <x:f>IF(A186="","",IF(S186&lt;&gt;"",0,IF(I186&lt;&gt;"",I186-TODAY(),IF(R186&lt;&gt;"",R186-TODAY(),""))))</x:f>
      </x:c>
      <x:c r="V186" s="113" t="str">
        <x:f>IF(A186="","",IF(S186&lt;&gt;"",MAX(0,S186-IF(I186&lt;&gt;"",I186,R186)),IF(OR(I186&lt;&gt;"",R186&lt;&gt;""),MAX(0,TODAY()-IF(I186&lt;&gt;"",I186,R186)),0)))</x:f>
      </x:c>
      <x:c r="W186" s="95"/>
      <x:c r="X186" s="95"/>
      <x:c r="Y186" s="92"/>
      <x:c r="Z186" s="92"/>
      <x:c r="AA186" s="92"/>
      <x:c r="AB186" s="92"/>
      <x:c r="AC186" s="113" t="str">
        <x:f>IF(A186="","",IF(P186="","",IF(S186&lt;&gt;"",S186-P186,TODAY()-P186)))</x:f>
      </x:c>
    </x:row>
    <x:row r="187" ht="28" customHeight="1">
      <x:c r="A187" s="92"/>
      <x:c r="B187" s="95"/>
      <x:c r="C187" s="92"/>
      <x:c r="D187" s="92"/>
      <x:c r="E187" s="92"/>
      <x:c r="F187" s="92"/>
      <x:c r="G187" s="92"/>
      <x:c r="H187" s="92"/>
      <x:c r="I187" s="101"/>
      <x:c r="J187" s="107"/>
      <x:c r="K187" s="110" t="str">
        <x:f>IF(A187="","",IFERROR(VLOOKUP(C187,'Cấu hình'!$A$12:$D$19,2,FALSE),0))</x:f>
      </x:c>
      <x:c r="L187" s="92"/>
      <x:c r="M187" s="92"/>
      <x:c r="N187" s="95"/>
      <x:c r="O187" s="101"/>
      <x:c r="P187" s="101"/>
      <x:c r="Q187" s="101"/>
      <x:c r="R187" s="104" t="str">
        <x:f>IF(OR(P187="",D187=""),"",P187+IFERROR(VLOOKUP(D187,'Cấu hình'!$E$12:$G$15,3,FALSE),0))</x:f>
      </x:c>
      <x:c r="S187" s="101"/>
      <x:c r="T187" s="107"/>
      <x:c r="U187" s="113" t="str">
        <x:f>IF(A187="","",IF(S187&lt;&gt;"",0,IF(I187&lt;&gt;"",I187-TODAY(),IF(R187&lt;&gt;"",R187-TODAY(),""))))</x:f>
      </x:c>
      <x:c r="V187" s="113" t="str">
        <x:f>IF(A187="","",IF(S187&lt;&gt;"",MAX(0,S187-IF(I187&lt;&gt;"",I187,R187)),IF(OR(I187&lt;&gt;"",R187&lt;&gt;""),MAX(0,TODAY()-IF(I187&lt;&gt;"",I187,R187)),0)))</x:f>
      </x:c>
      <x:c r="W187" s="95"/>
      <x:c r="X187" s="95"/>
      <x:c r="Y187" s="92"/>
      <x:c r="Z187" s="92"/>
      <x:c r="AA187" s="92"/>
      <x:c r="AB187" s="92"/>
      <x:c r="AC187" s="113" t="str">
        <x:f>IF(A187="","",IF(P187="","",IF(S187&lt;&gt;"",S187-P187,TODAY()-P187)))</x:f>
      </x:c>
    </x:row>
    <x:row r="188" ht="28" customHeight="1">
      <x:c r="A188" s="92"/>
      <x:c r="B188" s="95"/>
      <x:c r="C188" s="92"/>
      <x:c r="D188" s="92"/>
      <x:c r="E188" s="92"/>
      <x:c r="F188" s="92"/>
      <x:c r="G188" s="92"/>
      <x:c r="H188" s="92"/>
      <x:c r="I188" s="101"/>
      <x:c r="J188" s="107"/>
      <x:c r="K188" s="110" t="str">
        <x:f>IF(A188="","",IFERROR(VLOOKUP(C188,'Cấu hình'!$A$12:$D$19,2,FALSE),0))</x:f>
      </x:c>
      <x:c r="L188" s="92"/>
      <x:c r="M188" s="92"/>
      <x:c r="N188" s="95"/>
      <x:c r="O188" s="101"/>
      <x:c r="P188" s="101"/>
      <x:c r="Q188" s="101"/>
      <x:c r="R188" s="104" t="str">
        <x:f>IF(OR(P188="",D188=""),"",P188+IFERROR(VLOOKUP(D188,'Cấu hình'!$E$12:$G$15,3,FALSE),0))</x:f>
      </x:c>
      <x:c r="S188" s="101"/>
      <x:c r="T188" s="107"/>
      <x:c r="U188" s="113" t="str">
        <x:f>IF(A188="","",IF(S188&lt;&gt;"",0,IF(I188&lt;&gt;"",I188-TODAY(),IF(R188&lt;&gt;"",R188-TODAY(),""))))</x:f>
      </x:c>
      <x:c r="V188" s="113" t="str">
        <x:f>IF(A188="","",IF(S188&lt;&gt;"",MAX(0,S188-IF(I188&lt;&gt;"",I188,R188)),IF(OR(I188&lt;&gt;"",R188&lt;&gt;""),MAX(0,TODAY()-IF(I188&lt;&gt;"",I188,R188)),0)))</x:f>
      </x:c>
      <x:c r="W188" s="95"/>
      <x:c r="X188" s="95"/>
      <x:c r="Y188" s="92"/>
      <x:c r="Z188" s="92"/>
      <x:c r="AA188" s="92"/>
      <x:c r="AB188" s="92"/>
      <x:c r="AC188" s="113" t="str">
        <x:f>IF(A188="","",IF(P188="","",IF(S188&lt;&gt;"",S188-P188,TODAY()-P188)))</x:f>
      </x:c>
    </x:row>
    <x:row r="189" ht="28" customHeight="1">
      <x:c r="A189" s="92"/>
      <x:c r="B189" s="95"/>
      <x:c r="C189" s="92"/>
      <x:c r="D189" s="92"/>
      <x:c r="E189" s="92"/>
      <x:c r="F189" s="92"/>
      <x:c r="G189" s="92"/>
      <x:c r="H189" s="92"/>
      <x:c r="I189" s="101"/>
      <x:c r="J189" s="107"/>
      <x:c r="K189" s="110" t="str">
        <x:f>IF(A189="","",IFERROR(VLOOKUP(C189,'Cấu hình'!$A$12:$D$19,2,FALSE),0))</x:f>
      </x:c>
      <x:c r="L189" s="92"/>
      <x:c r="M189" s="92"/>
      <x:c r="N189" s="95"/>
      <x:c r="O189" s="101"/>
      <x:c r="P189" s="101"/>
      <x:c r="Q189" s="101"/>
      <x:c r="R189" s="104" t="str">
        <x:f>IF(OR(P189="",D189=""),"",P189+IFERROR(VLOOKUP(D189,'Cấu hình'!$E$12:$G$15,3,FALSE),0))</x:f>
      </x:c>
      <x:c r="S189" s="101"/>
      <x:c r="T189" s="107"/>
      <x:c r="U189" s="113" t="str">
        <x:f>IF(A189="","",IF(S189&lt;&gt;"",0,IF(I189&lt;&gt;"",I189-TODAY(),IF(R189&lt;&gt;"",R189-TODAY(),""))))</x:f>
      </x:c>
      <x:c r="V189" s="113" t="str">
        <x:f>IF(A189="","",IF(S189&lt;&gt;"",MAX(0,S189-IF(I189&lt;&gt;"",I189,R189)),IF(OR(I189&lt;&gt;"",R189&lt;&gt;""),MAX(0,TODAY()-IF(I189&lt;&gt;"",I189,R189)),0)))</x:f>
      </x:c>
      <x:c r="W189" s="95"/>
      <x:c r="X189" s="95"/>
      <x:c r="Y189" s="92"/>
      <x:c r="Z189" s="92"/>
      <x:c r="AA189" s="92"/>
      <x:c r="AB189" s="92"/>
      <x:c r="AC189" s="113" t="str">
        <x:f>IF(A189="","",IF(P189="","",IF(S189&lt;&gt;"",S189-P189,TODAY()-P189)))</x:f>
      </x:c>
    </x:row>
    <x:row r="190" ht="28" customHeight="1">
      <x:c r="A190" s="92"/>
      <x:c r="B190" s="95"/>
      <x:c r="C190" s="92"/>
      <x:c r="D190" s="92"/>
      <x:c r="E190" s="92"/>
      <x:c r="F190" s="92"/>
      <x:c r="G190" s="92"/>
      <x:c r="H190" s="92"/>
      <x:c r="I190" s="101"/>
      <x:c r="J190" s="107"/>
      <x:c r="K190" s="110" t="str">
        <x:f>IF(A190="","",IFERROR(VLOOKUP(C190,'Cấu hình'!$A$12:$D$19,2,FALSE),0))</x:f>
      </x:c>
      <x:c r="L190" s="92"/>
      <x:c r="M190" s="92"/>
      <x:c r="N190" s="95"/>
      <x:c r="O190" s="101"/>
      <x:c r="P190" s="101"/>
      <x:c r="Q190" s="101"/>
      <x:c r="R190" s="104" t="str">
        <x:f>IF(OR(P190="",D190=""),"",P190+IFERROR(VLOOKUP(D190,'Cấu hình'!$E$12:$G$15,3,FALSE),0))</x:f>
      </x:c>
      <x:c r="S190" s="101"/>
      <x:c r="T190" s="107"/>
      <x:c r="U190" s="113" t="str">
        <x:f>IF(A190="","",IF(S190&lt;&gt;"",0,IF(I190&lt;&gt;"",I190-TODAY(),IF(R190&lt;&gt;"",R190-TODAY(),""))))</x:f>
      </x:c>
      <x:c r="V190" s="113" t="str">
        <x:f>IF(A190="","",IF(S190&lt;&gt;"",MAX(0,S190-IF(I190&lt;&gt;"",I190,R190)),IF(OR(I190&lt;&gt;"",R190&lt;&gt;""),MAX(0,TODAY()-IF(I190&lt;&gt;"",I190,R190)),0)))</x:f>
      </x:c>
      <x:c r="W190" s="95"/>
      <x:c r="X190" s="95"/>
      <x:c r="Y190" s="92"/>
      <x:c r="Z190" s="92"/>
      <x:c r="AA190" s="92"/>
      <x:c r="AB190" s="92"/>
      <x:c r="AC190" s="113" t="str">
        <x:f>IF(A190="","",IF(P190="","",IF(S190&lt;&gt;"",S190-P190,TODAY()-P190)))</x:f>
      </x:c>
    </x:row>
    <x:row r="191" ht="28" customHeight="1">
      <x:c r="A191" s="92"/>
      <x:c r="B191" s="95"/>
      <x:c r="C191" s="92"/>
      <x:c r="D191" s="92"/>
      <x:c r="E191" s="92"/>
      <x:c r="F191" s="92"/>
      <x:c r="G191" s="92"/>
      <x:c r="H191" s="92"/>
      <x:c r="I191" s="101"/>
      <x:c r="J191" s="107"/>
      <x:c r="K191" s="110" t="str">
        <x:f>IF(A191="","",IFERROR(VLOOKUP(C191,'Cấu hình'!$A$12:$D$19,2,FALSE),0))</x:f>
      </x:c>
      <x:c r="L191" s="92"/>
      <x:c r="M191" s="92"/>
      <x:c r="N191" s="95"/>
      <x:c r="O191" s="101"/>
      <x:c r="P191" s="101"/>
      <x:c r="Q191" s="101"/>
      <x:c r="R191" s="104" t="str">
        <x:f>IF(OR(P191="",D191=""),"",P191+IFERROR(VLOOKUP(D191,'Cấu hình'!$E$12:$G$15,3,FALSE),0))</x:f>
      </x:c>
      <x:c r="S191" s="101"/>
      <x:c r="T191" s="107"/>
      <x:c r="U191" s="113" t="str">
        <x:f>IF(A191="","",IF(S191&lt;&gt;"",0,IF(I191&lt;&gt;"",I191-TODAY(),IF(R191&lt;&gt;"",R191-TODAY(),""))))</x:f>
      </x:c>
      <x:c r="V191" s="113" t="str">
        <x:f>IF(A191="","",IF(S191&lt;&gt;"",MAX(0,S191-IF(I191&lt;&gt;"",I191,R191)),IF(OR(I191&lt;&gt;"",R191&lt;&gt;""),MAX(0,TODAY()-IF(I191&lt;&gt;"",I191,R191)),0)))</x:f>
      </x:c>
      <x:c r="W191" s="95"/>
      <x:c r="X191" s="95"/>
      <x:c r="Y191" s="92"/>
      <x:c r="Z191" s="92"/>
      <x:c r="AA191" s="92"/>
      <x:c r="AB191" s="92"/>
      <x:c r="AC191" s="113" t="str">
        <x:f>IF(A191="","",IF(P191="","",IF(S191&lt;&gt;"",S191-P191,TODAY()-P191)))</x:f>
      </x:c>
    </x:row>
    <x:row r="192" ht="28" customHeight="1">
      <x:c r="A192" s="92"/>
      <x:c r="B192" s="95"/>
      <x:c r="C192" s="92"/>
      <x:c r="D192" s="92"/>
      <x:c r="E192" s="92"/>
      <x:c r="F192" s="92"/>
      <x:c r="G192" s="92"/>
      <x:c r="H192" s="92"/>
      <x:c r="I192" s="101"/>
      <x:c r="J192" s="107"/>
      <x:c r="K192" s="110" t="str">
        <x:f>IF(A192="","",IFERROR(VLOOKUP(C192,'Cấu hình'!$A$12:$D$19,2,FALSE),0))</x:f>
      </x:c>
      <x:c r="L192" s="92"/>
      <x:c r="M192" s="92"/>
      <x:c r="N192" s="95"/>
      <x:c r="O192" s="101"/>
      <x:c r="P192" s="101"/>
      <x:c r="Q192" s="101"/>
      <x:c r="R192" s="104" t="str">
        <x:f>IF(OR(P192="",D192=""),"",P192+IFERROR(VLOOKUP(D192,'Cấu hình'!$E$12:$G$15,3,FALSE),0))</x:f>
      </x:c>
      <x:c r="S192" s="101"/>
      <x:c r="T192" s="107"/>
      <x:c r="U192" s="113" t="str">
        <x:f>IF(A192="","",IF(S192&lt;&gt;"",0,IF(I192&lt;&gt;"",I192-TODAY(),IF(R192&lt;&gt;"",R192-TODAY(),""))))</x:f>
      </x:c>
      <x:c r="V192" s="113" t="str">
        <x:f>IF(A192="","",IF(S192&lt;&gt;"",MAX(0,S192-IF(I192&lt;&gt;"",I192,R192)),IF(OR(I192&lt;&gt;"",R192&lt;&gt;""),MAX(0,TODAY()-IF(I192&lt;&gt;"",I192,R192)),0)))</x:f>
      </x:c>
      <x:c r="W192" s="95"/>
      <x:c r="X192" s="95"/>
      <x:c r="Y192" s="92"/>
      <x:c r="Z192" s="92"/>
      <x:c r="AA192" s="92"/>
      <x:c r="AB192" s="92"/>
      <x:c r="AC192" s="113" t="str">
        <x:f>IF(A192="","",IF(P192="","",IF(S192&lt;&gt;"",S192-P192,TODAY()-P192)))</x:f>
      </x:c>
    </x:row>
    <x:row r="193" ht="28" customHeight="1">
      <x:c r="A193" s="92"/>
      <x:c r="B193" s="95"/>
      <x:c r="C193" s="92"/>
      <x:c r="D193" s="92"/>
      <x:c r="E193" s="92"/>
      <x:c r="F193" s="92"/>
      <x:c r="G193" s="92"/>
      <x:c r="H193" s="92"/>
      <x:c r="I193" s="101"/>
      <x:c r="J193" s="107"/>
      <x:c r="K193" s="110" t="str">
        <x:f>IF(A193="","",IFERROR(VLOOKUP(C193,'Cấu hình'!$A$12:$D$19,2,FALSE),0))</x:f>
      </x:c>
      <x:c r="L193" s="92"/>
      <x:c r="M193" s="92"/>
      <x:c r="N193" s="95"/>
      <x:c r="O193" s="101"/>
      <x:c r="P193" s="101"/>
      <x:c r="Q193" s="101"/>
      <x:c r="R193" s="104" t="str">
        <x:f>IF(OR(P193="",D193=""),"",P193+IFERROR(VLOOKUP(D193,'Cấu hình'!$E$12:$G$15,3,FALSE),0))</x:f>
      </x:c>
      <x:c r="S193" s="101"/>
      <x:c r="T193" s="107"/>
      <x:c r="U193" s="113" t="str">
        <x:f>IF(A193="","",IF(S193&lt;&gt;"",0,IF(I193&lt;&gt;"",I193-TODAY(),IF(R193&lt;&gt;"",R193-TODAY(),""))))</x:f>
      </x:c>
      <x:c r="V193" s="113" t="str">
        <x:f>IF(A193="","",IF(S193&lt;&gt;"",MAX(0,S193-IF(I193&lt;&gt;"",I193,R193)),IF(OR(I193&lt;&gt;"",R193&lt;&gt;""),MAX(0,TODAY()-IF(I193&lt;&gt;"",I193,R193)),0)))</x:f>
      </x:c>
      <x:c r="W193" s="95"/>
      <x:c r="X193" s="95"/>
      <x:c r="Y193" s="92"/>
      <x:c r="Z193" s="92"/>
      <x:c r="AA193" s="92"/>
      <x:c r="AB193" s="92"/>
      <x:c r="AC193" s="113" t="str">
        <x:f>IF(A193="","",IF(P193="","",IF(S193&lt;&gt;"",S193-P193,TODAY()-P193)))</x:f>
      </x:c>
    </x:row>
    <x:row r="194" ht="28" customHeight="1">
      <x:c r="A194" s="92"/>
      <x:c r="B194" s="95"/>
      <x:c r="C194" s="92"/>
      <x:c r="D194" s="92"/>
      <x:c r="E194" s="92"/>
      <x:c r="F194" s="92"/>
      <x:c r="G194" s="92"/>
      <x:c r="H194" s="92"/>
      <x:c r="I194" s="101"/>
      <x:c r="J194" s="107"/>
      <x:c r="K194" s="110" t="str">
        <x:f>IF(A194="","",IFERROR(VLOOKUP(C194,'Cấu hình'!$A$12:$D$19,2,FALSE),0))</x:f>
      </x:c>
      <x:c r="L194" s="92"/>
      <x:c r="M194" s="92"/>
      <x:c r="N194" s="95"/>
      <x:c r="O194" s="101"/>
      <x:c r="P194" s="101"/>
      <x:c r="Q194" s="101"/>
      <x:c r="R194" s="104" t="str">
        <x:f>IF(OR(P194="",D194=""),"",P194+IFERROR(VLOOKUP(D194,'Cấu hình'!$E$12:$G$15,3,FALSE),0))</x:f>
      </x:c>
      <x:c r="S194" s="101"/>
      <x:c r="T194" s="107"/>
      <x:c r="U194" s="113" t="str">
        <x:f>IF(A194="","",IF(S194&lt;&gt;"",0,IF(I194&lt;&gt;"",I194-TODAY(),IF(R194&lt;&gt;"",R194-TODAY(),""))))</x:f>
      </x:c>
      <x:c r="V194" s="113" t="str">
        <x:f>IF(A194="","",IF(S194&lt;&gt;"",MAX(0,S194-IF(I194&lt;&gt;"",I194,R194)),IF(OR(I194&lt;&gt;"",R194&lt;&gt;""),MAX(0,TODAY()-IF(I194&lt;&gt;"",I194,R194)),0)))</x:f>
      </x:c>
      <x:c r="W194" s="95"/>
      <x:c r="X194" s="95"/>
      <x:c r="Y194" s="92"/>
      <x:c r="Z194" s="92"/>
      <x:c r="AA194" s="92"/>
      <x:c r="AB194" s="92"/>
      <x:c r="AC194" s="113" t="str">
        <x:f>IF(A194="","",IF(P194="","",IF(S194&lt;&gt;"",S194-P194,TODAY()-P194)))</x:f>
      </x:c>
    </x:row>
    <x:row r="195" ht="28" customHeight="1">
      <x:c r="A195" s="92"/>
      <x:c r="B195" s="95"/>
      <x:c r="C195" s="92"/>
      <x:c r="D195" s="92"/>
      <x:c r="E195" s="92"/>
      <x:c r="F195" s="92"/>
      <x:c r="G195" s="92"/>
      <x:c r="H195" s="92"/>
      <x:c r="I195" s="101"/>
      <x:c r="J195" s="107"/>
      <x:c r="K195" s="110" t="str">
        <x:f>IF(A195="","",IFERROR(VLOOKUP(C195,'Cấu hình'!$A$12:$D$19,2,FALSE),0))</x:f>
      </x:c>
      <x:c r="L195" s="92"/>
      <x:c r="M195" s="92"/>
      <x:c r="N195" s="95"/>
      <x:c r="O195" s="101"/>
      <x:c r="P195" s="101"/>
      <x:c r="Q195" s="101"/>
      <x:c r="R195" s="104" t="str">
        <x:f>IF(OR(P195="",D195=""),"",P195+IFERROR(VLOOKUP(D195,'Cấu hình'!$E$12:$G$15,3,FALSE),0))</x:f>
      </x:c>
      <x:c r="S195" s="101"/>
      <x:c r="T195" s="107"/>
      <x:c r="U195" s="113" t="str">
        <x:f>IF(A195="","",IF(S195&lt;&gt;"",0,IF(I195&lt;&gt;"",I195-TODAY(),IF(R195&lt;&gt;"",R195-TODAY(),""))))</x:f>
      </x:c>
      <x:c r="V195" s="113" t="str">
        <x:f>IF(A195="","",IF(S195&lt;&gt;"",MAX(0,S195-IF(I195&lt;&gt;"",I195,R195)),IF(OR(I195&lt;&gt;"",R195&lt;&gt;""),MAX(0,TODAY()-IF(I195&lt;&gt;"",I195,R195)),0)))</x:f>
      </x:c>
      <x:c r="W195" s="95"/>
      <x:c r="X195" s="95"/>
      <x:c r="Y195" s="92"/>
      <x:c r="Z195" s="92"/>
      <x:c r="AA195" s="92"/>
      <x:c r="AB195" s="92"/>
      <x:c r="AC195" s="113" t="str">
        <x:f>IF(A195="","",IF(P195="","",IF(S195&lt;&gt;"",S195-P195,TODAY()-P195)))</x:f>
      </x:c>
    </x:row>
    <x:row r="196" ht="28" customHeight="1">
      <x:c r="A196" s="92"/>
      <x:c r="B196" s="95"/>
      <x:c r="C196" s="92"/>
      <x:c r="D196" s="92"/>
      <x:c r="E196" s="92"/>
      <x:c r="F196" s="92"/>
      <x:c r="G196" s="92"/>
      <x:c r="H196" s="92"/>
      <x:c r="I196" s="101"/>
      <x:c r="J196" s="107"/>
      <x:c r="K196" s="110" t="str">
        <x:f>IF(A196="","",IFERROR(VLOOKUP(C196,'Cấu hình'!$A$12:$D$19,2,FALSE),0))</x:f>
      </x:c>
      <x:c r="L196" s="92"/>
      <x:c r="M196" s="92"/>
      <x:c r="N196" s="95"/>
      <x:c r="O196" s="101"/>
      <x:c r="P196" s="101"/>
      <x:c r="Q196" s="101"/>
      <x:c r="R196" s="104" t="str">
        <x:f>IF(OR(P196="",D196=""),"",P196+IFERROR(VLOOKUP(D196,'Cấu hình'!$E$12:$G$15,3,FALSE),0))</x:f>
      </x:c>
      <x:c r="S196" s="101"/>
      <x:c r="T196" s="107"/>
      <x:c r="U196" s="113" t="str">
        <x:f>IF(A196="","",IF(S196&lt;&gt;"",0,IF(I196&lt;&gt;"",I196-TODAY(),IF(R196&lt;&gt;"",R196-TODAY(),""))))</x:f>
      </x:c>
      <x:c r="V196" s="113" t="str">
        <x:f>IF(A196="","",IF(S196&lt;&gt;"",MAX(0,S196-IF(I196&lt;&gt;"",I196,R196)),IF(OR(I196&lt;&gt;"",R196&lt;&gt;""),MAX(0,TODAY()-IF(I196&lt;&gt;"",I196,R196)),0)))</x:f>
      </x:c>
      <x:c r="W196" s="95"/>
      <x:c r="X196" s="95"/>
      <x:c r="Y196" s="92"/>
      <x:c r="Z196" s="92"/>
      <x:c r="AA196" s="92"/>
      <x:c r="AB196" s="92"/>
      <x:c r="AC196" s="113" t="str">
        <x:f>IF(A196="","",IF(P196="","",IF(S196&lt;&gt;"",S196-P196,TODAY()-P196)))</x:f>
      </x:c>
    </x:row>
    <x:row r="197" ht="28" customHeight="1">
      <x:c r="A197" s="92"/>
      <x:c r="B197" s="95"/>
      <x:c r="C197" s="92"/>
      <x:c r="D197" s="92"/>
      <x:c r="E197" s="92"/>
      <x:c r="F197" s="92"/>
      <x:c r="G197" s="92"/>
      <x:c r="H197" s="92"/>
      <x:c r="I197" s="101"/>
      <x:c r="J197" s="107"/>
      <x:c r="K197" s="110" t="str">
        <x:f>IF(A197="","",IFERROR(VLOOKUP(C197,'Cấu hình'!$A$12:$D$19,2,FALSE),0))</x:f>
      </x:c>
      <x:c r="L197" s="92"/>
      <x:c r="M197" s="92"/>
      <x:c r="N197" s="95"/>
      <x:c r="O197" s="101"/>
      <x:c r="P197" s="101"/>
      <x:c r="Q197" s="101"/>
      <x:c r="R197" s="104" t="str">
        <x:f>IF(OR(P197="",D197=""),"",P197+IFERROR(VLOOKUP(D197,'Cấu hình'!$E$12:$G$15,3,FALSE),0))</x:f>
      </x:c>
      <x:c r="S197" s="101"/>
      <x:c r="T197" s="107"/>
      <x:c r="U197" s="113" t="str">
        <x:f>IF(A197="","",IF(S197&lt;&gt;"",0,IF(I197&lt;&gt;"",I197-TODAY(),IF(R197&lt;&gt;"",R197-TODAY(),""))))</x:f>
      </x:c>
      <x:c r="V197" s="113" t="str">
        <x:f>IF(A197="","",IF(S197&lt;&gt;"",MAX(0,S197-IF(I197&lt;&gt;"",I197,R197)),IF(OR(I197&lt;&gt;"",R197&lt;&gt;""),MAX(0,TODAY()-IF(I197&lt;&gt;"",I197,R197)),0)))</x:f>
      </x:c>
      <x:c r="W197" s="95"/>
      <x:c r="X197" s="95"/>
      <x:c r="Y197" s="92"/>
      <x:c r="Z197" s="92"/>
      <x:c r="AA197" s="92"/>
      <x:c r="AB197" s="92"/>
      <x:c r="AC197" s="113" t="str">
        <x:f>IF(A197="","",IF(P197="","",IF(S197&lt;&gt;"",S197-P197,TODAY()-P197)))</x:f>
      </x:c>
    </x:row>
    <x:row r="198" ht="28" customHeight="1">
      <x:c r="A198" s="92"/>
      <x:c r="B198" s="95"/>
      <x:c r="C198" s="92"/>
      <x:c r="D198" s="92"/>
      <x:c r="E198" s="92"/>
      <x:c r="F198" s="92"/>
      <x:c r="G198" s="92"/>
      <x:c r="H198" s="92"/>
      <x:c r="I198" s="101"/>
      <x:c r="J198" s="107"/>
      <x:c r="K198" s="110" t="str">
        <x:f>IF(A198="","",IFERROR(VLOOKUP(C198,'Cấu hình'!$A$12:$D$19,2,FALSE),0))</x:f>
      </x:c>
      <x:c r="L198" s="92"/>
      <x:c r="M198" s="92"/>
      <x:c r="N198" s="95"/>
      <x:c r="O198" s="101"/>
      <x:c r="P198" s="101"/>
      <x:c r="Q198" s="101"/>
      <x:c r="R198" s="104" t="str">
        <x:f>IF(OR(P198="",D198=""),"",P198+IFERROR(VLOOKUP(D198,'Cấu hình'!$E$12:$G$15,3,FALSE),0))</x:f>
      </x:c>
      <x:c r="S198" s="101"/>
      <x:c r="T198" s="107"/>
      <x:c r="U198" s="113" t="str">
        <x:f>IF(A198="","",IF(S198&lt;&gt;"",0,IF(I198&lt;&gt;"",I198-TODAY(),IF(R198&lt;&gt;"",R198-TODAY(),""))))</x:f>
      </x:c>
      <x:c r="V198" s="113" t="str">
        <x:f>IF(A198="","",IF(S198&lt;&gt;"",MAX(0,S198-IF(I198&lt;&gt;"",I198,R198)),IF(OR(I198&lt;&gt;"",R198&lt;&gt;""),MAX(0,TODAY()-IF(I198&lt;&gt;"",I198,R198)),0)))</x:f>
      </x:c>
      <x:c r="W198" s="95"/>
      <x:c r="X198" s="95"/>
      <x:c r="Y198" s="92"/>
      <x:c r="Z198" s="92"/>
      <x:c r="AA198" s="92"/>
      <x:c r="AB198" s="92"/>
      <x:c r="AC198" s="113" t="str">
        <x:f>IF(A198="","",IF(P198="","",IF(S198&lt;&gt;"",S198-P198,TODAY()-P198)))</x:f>
      </x:c>
    </x:row>
    <x:row r="199" ht="28" customHeight="1">
      <x:c r="A199" s="92"/>
      <x:c r="B199" s="95"/>
      <x:c r="C199" s="92"/>
      <x:c r="D199" s="92"/>
      <x:c r="E199" s="92"/>
      <x:c r="F199" s="92"/>
      <x:c r="G199" s="92"/>
      <x:c r="H199" s="92"/>
      <x:c r="I199" s="101"/>
      <x:c r="J199" s="107"/>
      <x:c r="K199" s="110" t="str">
        <x:f>IF(A199="","",IFERROR(VLOOKUP(C199,'Cấu hình'!$A$12:$D$19,2,FALSE),0))</x:f>
      </x:c>
      <x:c r="L199" s="92"/>
      <x:c r="M199" s="92"/>
      <x:c r="N199" s="95"/>
      <x:c r="O199" s="101"/>
      <x:c r="P199" s="101"/>
      <x:c r="Q199" s="101"/>
      <x:c r="R199" s="104" t="str">
        <x:f>IF(OR(P199="",D199=""),"",P199+IFERROR(VLOOKUP(D199,'Cấu hình'!$E$12:$G$15,3,FALSE),0))</x:f>
      </x:c>
      <x:c r="S199" s="101"/>
      <x:c r="T199" s="107"/>
      <x:c r="U199" s="113" t="str">
        <x:f>IF(A199="","",IF(S199&lt;&gt;"",0,IF(I199&lt;&gt;"",I199-TODAY(),IF(R199&lt;&gt;"",R199-TODAY(),""))))</x:f>
      </x:c>
      <x:c r="V199" s="113" t="str">
        <x:f>IF(A199="","",IF(S199&lt;&gt;"",MAX(0,S199-IF(I199&lt;&gt;"",I199,R199)),IF(OR(I199&lt;&gt;"",R199&lt;&gt;""),MAX(0,TODAY()-IF(I199&lt;&gt;"",I199,R199)),0)))</x:f>
      </x:c>
      <x:c r="W199" s="95"/>
      <x:c r="X199" s="95"/>
      <x:c r="Y199" s="92"/>
      <x:c r="Z199" s="92"/>
      <x:c r="AA199" s="92"/>
      <x:c r="AB199" s="92"/>
      <x:c r="AC199" s="113" t="str">
        <x:f>IF(A199="","",IF(P199="","",IF(S199&lt;&gt;"",S199-P199,TODAY()-P199)))</x:f>
      </x:c>
    </x:row>
    <x:row r="200" ht="28" customHeight="1">
      <x:c r="A200" s="92"/>
      <x:c r="B200" s="95"/>
      <x:c r="C200" s="92"/>
      <x:c r="D200" s="92"/>
      <x:c r="E200" s="92"/>
      <x:c r="F200" s="92"/>
      <x:c r="G200" s="92"/>
      <x:c r="H200" s="92"/>
      <x:c r="I200" s="101"/>
      <x:c r="J200" s="107"/>
      <x:c r="K200" s="110" t="str">
        <x:f>IF(A200="","",IFERROR(VLOOKUP(C200,'Cấu hình'!$A$12:$D$19,2,FALSE),0))</x:f>
      </x:c>
      <x:c r="L200" s="92"/>
      <x:c r="M200" s="92"/>
      <x:c r="N200" s="95"/>
      <x:c r="O200" s="101"/>
      <x:c r="P200" s="101"/>
      <x:c r="Q200" s="101"/>
      <x:c r="R200" s="104" t="str">
        <x:f>IF(OR(P200="",D200=""),"",P200+IFERROR(VLOOKUP(D200,'Cấu hình'!$E$12:$G$15,3,FALSE),0))</x:f>
      </x:c>
      <x:c r="S200" s="101"/>
      <x:c r="T200" s="107"/>
      <x:c r="U200" s="113" t="str">
        <x:f>IF(A200="","",IF(S200&lt;&gt;"",0,IF(I200&lt;&gt;"",I200-TODAY(),IF(R200&lt;&gt;"",R200-TODAY(),""))))</x:f>
      </x:c>
      <x:c r="V200" s="113" t="str">
        <x:f>IF(A200="","",IF(S200&lt;&gt;"",MAX(0,S200-IF(I200&lt;&gt;"",I200,R200)),IF(OR(I200&lt;&gt;"",R200&lt;&gt;""),MAX(0,TODAY()-IF(I200&lt;&gt;"",I200,R200)),0)))</x:f>
      </x:c>
      <x:c r="W200" s="95"/>
      <x:c r="X200" s="95"/>
      <x:c r="Y200" s="92"/>
      <x:c r="Z200" s="92"/>
      <x:c r="AA200" s="92"/>
      <x:c r="AB200" s="92"/>
      <x:c r="AC200" s="113" t="str">
        <x:f>IF(A200="","",IF(P200="","",IF(S200&lt;&gt;"",S200-P200,TODAY()-P200)))</x:f>
      </x:c>
    </x:row>
    <x:row r="201" ht="28" customHeight="1">
      <x:c r="A201" s="92"/>
      <x:c r="B201" s="95"/>
      <x:c r="C201" s="92"/>
      <x:c r="D201" s="92"/>
      <x:c r="E201" s="92"/>
      <x:c r="F201" s="92"/>
      <x:c r="G201" s="92"/>
      <x:c r="H201" s="92"/>
      <x:c r="I201" s="101"/>
      <x:c r="J201" s="107"/>
      <x:c r="K201" s="110" t="str">
        <x:f>IF(A201="","",IFERROR(VLOOKUP(C201,'Cấu hình'!$A$12:$D$19,2,FALSE),0))</x:f>
      </x:c>
      <x:c r="L201" s="92"/>
      <x:c r="M201" s="92"/>
      <x:c r="N201" s="95"/>
      <x:c r="O201" s="101"/>
      <x:c r="P201" s="101"/>
      <x:c r="Q201" s="101"/>
      <x:c r="R201" s="104" t="str">
        <x:f>IF(OR(P201="",D201=""),"",P201+IFERROR(VLOOKUP(D201,'Cấu hình'!$E$12:$G$15,3,FALSE),0))</x:f>
      </x:c>
      <x:c r="S201" s="101"/>
      <x:c r="T201" s="107"/>
      <x:c r="U201" s="113" t="str">
        <x:f>IF(A201="","",IF(S201&lt;&gt;"",0,IF(I201&lt;&gt;"",I201-TODAY(),IF(R201&lt;&gt;"",R201-TODAY(),""))))</x:f>
      </x:c>
      <x:c r="V201" s="113" t="str">
        <x:f>IF(A201="","",IF(S201&lt;&gt;"",MAX(0,S201-IF(I201&lt;&gt;"",I201,R201)),IF(OR(I201&lt;&gt;"",R201&lt;&gt;""),MAX(0,TODAY()-IF(I201&lt;&gt;"",I201,R201)),0)))</x:f>
      </x:c>
      <x:c r="W201" s="95"/>
      <x:c r="X201" s="95"/>
      <x:c r="Y201" s="92"/>
      <x:c r="Z201" s="92"/>
      <x:c r="AA201" s="92"/>
      <x:c r="AB201" s="92"/>
      <x:c r="AC201" s="113" t="str">
        <x:f>IF(A201="","",IF(P201="","",IF(S201&lt;&gt;"",S201-P201,TODAY()-P201)))</x:f>
      </x:c>
    </x:row>
    <x:row r="202" ht="28" customHeight="1">
      <x:c r="A202" s="92"/>
      <x:c r="B202" s="95"/>
      <x:c r="C202" s="92"/>
      <x:c r="D202" s="92"/>
      <x:c r="E202" s="92"/>
      <x:c r="F202" s="92"/>
      <x:c r="G202" s="92"/>
      <x:c r="H202" s="92"/>
      <x:c r="I202" s="101"/>
      <x:c r="J202" s="107"/>
      <x:c r="K202" s="110" t="str">
        <x:f>IF(A202="","",IFERROR(VLOOKUP(C202,'Cấu hình'!$A$12:$D$19,2,FALSE),0))</x:f>
      </x:c>
      <x:c r="L202" s="92"/>
      <x:c r="M202" s="92"/>
      <x:c r="N202" s="95"/>
      <x:c r="O202" s="101"/>
      <x:c r="P202" s="101"/>
      <x:c r="Q202" s="101"/>
      <x:c r="R202" s="104" t="str">
        <x:f>IF(OR(P202="",D202=""),"",P202+IFERROR(VLOOKUP(D202,'Cấu hình'!$E$12:$G$15,3,FALSE),0))</x:f>
      </x:c>
      <x:c r="S202" s="101"/>
      <x:c r="T202" s="107"/>
      <x:c r="U202" s="113" t="str">
        <x:f>IF(A202="","",IF(S202&lt;&gt;"",0,IF(I202&lt;&gt;"",I202-TODAY(),IF(R202&lt;&gt;"",R202-TODAY(),""))))</x:f>
      </x:c>
      <x:c r="V202" s="113" t="str">
        <x:f>IF(A202="","",IF(S202&lt;&gt;"",MAX(0,S202-IF(I202&lt;&gt;"",I202,R202)),IF(OR(I202&lt;&gt;"",R202&lt;&gt;""),MAX(0,TODAY()-IF(I202&lt;&gt;"",I202,R202)),0)))</x:f>
      </x:c>
      <x:c r="W202" s="95"/>
      <x:c r="X202" s="95"/>
      <x:c r="Y202" s="92"/>
      <x:c r="Z202" s="92"/>
      <x:c r="AA202" s="92"/>
      <x:c r="AB202" s="92"/>
      <x:c r="AC202" s="113" t="str">
        <x:f>IF(A202="","",IF(P202="","",IF(S202&lt;&gt;"",S202-P202,TODAY()-P202)))</x:f>
      </x:c>
    </x:row>
    <x:row r="203" ht="28" customHeight="1">
      <x:c r="A203" s="92"/>
      <x:c r="B203" s="95"/>
      <x:c r="C203" s="92"/>
      <x:c r="D203" s="92"/>
      <x:c r="E203" s="92"/>
      <x:c r="F203" s="92"/>
      <x:c r="G203" s="92"/>
      <x:c r="H203" s="92"/>
      <x:c r="I203" s="101"/>
      <x:c r="J203" s="107"/>
      <x:c r="K203" s="110" t="str">
        <x:f>IF(A203="","",IFERROR(VLOOKUP(C203,'Cấu hình'!$A$12:$D$19,2,FALSE),0))</x:f>
      </x:c>
      <x:c r="L203" s="92"/>
      <x:c r="M203" s="92"/>
      <x:c r="N203" s="95"/>
      <x:c r="O203" s="101"/>
      <x:c r="P203" s="101"/>
      <x:c r="Q203" s="101"/>
      <x:c r="R203" s="104" t="str">
        <x:f>IF(OR(P203="",D203=""),"",P203+IFERROR(VLOOKUP(D203,'Cấu hình'!$E$12:$G$15,3,FALSE),0))</x:f>
      </x:c>
      <x:c r="S203" s="101"/>
      <x:c r="T203" s="107"/>
      <x:c r="U203" s="113" t="str">
        <x:f>IF(A203="","",IF(S203&lt;&gt;"",0,IF(I203&lt;&gt;"",I203-TODAY(),IF(R203&lt;&gt;"",R203-TODAY(),""))))</x:f>
      </x:c>
      <x:c r="V203" s="113" t="str">
        <x:f>IF(A203="","",IF(S203&lt;&gt;"",MAX(0,S203-IF(I203&lt;&gt;"",I203,R203)),IF(OR(I203&lt;&gt;"",R203&lt;&gt;""),MAX(0,TODAY()-IF(I203&lt;&gt;"",I203,R203)),0)))</x:f>
      </x:c>
      <x:c r="W203" s="95"/>
      <x:c r="X203" s="95"/>
      <x:c r="Y203" s="92"/>
      <x:c r="Z203" s="92"/>
      <x:c r="AA203" s="92"/>
      <x:c r="AB203" s="92"/>
      <x:c r="AC203" s="113" t="str">
        <x:f>IF(A203="","",IF(P203="","",IF(S203&lt;&gt;"",S203-P203,TODAY()-P203)))</x:f>
      </x:c>
    </x:row>
    <x:row r="204" ht="28" customHeight="1">
      <x:c r="A204" s="92"/>
      <x:c r="B204" s="95"/>
      <x:c r="C204" s="92"/>
      <x:c r="D204" s="92"/>
      <x:c r="E204" s="92"/>
      <x:c r="F204" s="92"/>
      <x:c r="G204" s="92"/>
      <x:c r="H204" s="92"/>
      <x:c r="I204" s="101"/>
      <x:c r="J204" s="107"/>
      <x:c r="K204" s="110" t="str">
        <x:f>IF(A204="","",IFERROR(VLOOKUP(C204,'Cấu hình'!$A$12:$D$19,2,FALSE),0))</x:f>
      </x:c>
      <x:c r="L204" s="92"/>
      <x:c r="M204" s="92"/>
      <x:c r="N204" s="95"/>
      <x:c r="O204" s="101"/>
      <x:c r="P204" s="101"/>
      <x:c r="Q204" s="101"/>
      <x:c r="R204" s="104" t="str">
        <x:f>IF(OR(P204="",D204=""),"",P204+IFERROR(VLOOKUP(D204,'Cấu hình'!$E$12:$G$15,3,FALSE),0))</x:f>
      </x:c>
      <x:c r="S204" s="101"/>
      <x:c r="T204" s="107"/>
      <x:c r="U204" s="113" t="str">
        <x:f>IF(A204="","",IF(S204&lt;&gt;"",0,IF(I204&lt;&gt;"",I204-TODAY(),IF(R204&lt;&gt;"",R204-TODAY(),""))))</x:f>
      </x:c>
      <x:c r="V204" s="113" t="str">
        <x:f>IF(A204="","",IF(S204&lt;&gt;"",MAX(0,S204-IF(I204&lt;&gt;"",I204,R204)),IF(OR(I204&lt;&gt;"",R204&lt;&gt;""),MAX(0,TODAY()-IF(I204&lt;&gt;"",I204,R204)),0)))</x:f>
      </x:c>
      <x:c r="W204" s="95"/>
      <x:c r="X204" s="95"/>
      <x:c r="Y204" s="92"/>
      <x:c r="Z204" s="92"/>
      <x:c r="AA204" s="92"/>
      <x:c r="AB204" s="92"/>
      <x:c r="AC204" s="113" t="str">
        <x:f>IF(A204="","",IF(P204="","",IF(S204&lt;&gt;"",S204-P204,TODAY()-P204)))</x:f>
      </x:c>
    </x:row>
    <x:row r="205" ht="28" customHeight="1">
      <x:c r="A205" s="93"/>
      <x:c r="B205" s="96"/>
      <x:c r="C205" s="93"/>
      <x:c r="D205" s="93"/>
      <x:c r="E205" s="93"/>
      <x:c r="F205" s="93"/>
      <x:c r="G205" s="93"/>
      <x:c r="H205" s="93"/>
      <x:c r="I205" s="102"/>
      <x:c r="J205" s="108"/>
      <x:c r="K205" s="111" t="str">
        <x:f>IF(A205="","",IFERROR(VLOOKUP(C205,'Cấu hình'!$A$12:$D$19,2,FALSE),0))</x:f>
      </x:c>
      <x:c r="L205" s="93"/>
      <x:c r="M205" s="93"/>
      <x:c r="N205" s="96"/>
      <x:c r="O205" s="102"/>
      <x:c r="P205" s="102"/>
      <x:c r="Q205" s="102"/>
      <x:c r="R205" s="105" t="str">
        <x:f>IF(OR(P205="",D205=""),"",P205+IFERROR(VLOOKUP(D205,'Cấu hình'!$E$12:$G$15,3,FALSE),0))</x:f>
      </x:c>
      <x:c r="S205" s="102"/>
      <x:c r="T205" s="108"/>
      <x:c r="U205" s="114" t="str">
        <x:f>IF(A205="","",IF(S205&lt;&gt;"",0,IF(I205&lt;&gt;"",I205-TODAY(),IF(R205&lt;&gt;"",R205-TODAY(),""))))</x:f>
      </x:c>
      <x:c r="V205" s="114" t="str">
        <x:f>IF(A205="","",IF(S205&lt;&gt;"",MAX(0,S205-IF(I205&lt;&gt;"",I205,R205)),IF(OR(I205&lt;&gt;"",R205&lt;&gt;""),MAX(0,TODAY()-IF(I205&lt;&gt;"",I205,R205)),0)))</x:f>
      </x:c>
      <x:c r="W205" s="96"/>
      <x:c r="X205" s="96"/>
      <x:c r="Y205" s="93"/>
      <x:c r="Z205" s="93"/>
      <x:c r="AA205" s="93"/>
      <x:c r="AB205" s="93"/>
      <x:c r="AC205" s="114" t="str">
        <x:f>IF(A205="","",IF(P205="","",IF(S205&lt;&gt;"",S205-P205,TODAY()-P205)))</x:f>
      </x:c>
    </x:row>
  </x:sheetData>
  <x:mergeCells>
    <x:mergeCell ref="A1:AC1"/>
    <x:mergeCell ref="A2:AC2"/>
    <x:mergeCell ref="A3:AC3"/>
    <x:mergeCell ref="P4:AC4"/>
  </x:mergeCells>
  <x:conditionalFormatting sqref="C6:C205">
    <x:cfRule type="containsText" dxfId="10" priority="1" operator="containsText" text="Done"/>
    <x:cfRule type="containsText" dxfId="11" priority="2" operator="containsText" text="Blocked"/>
    <x:cfRule type="containsText" dxfId="12" priority="3" operator="containsText" text="In Progress"/>
    <x:cfRule type="containsText" dxfId="13" priority="4" operator="containsText" text="Code Review"/>
    <x:cfRule type="containsText" dxfId="14" priority="5" operator="containsText" text="QA"/>
  </x:conditionalFormatting>
  <x:conditionalFormatting sqref="D6:D205">
    <x:cfRule type="containsText" dxfId="15" priority="6" operator="containsText" text="P0"/>
    <x:cfRule type="containsText" dxfId="16" priority="7" operator="containsText" text="P1"/>
  </x:conditionalFormatting>
  <x:conditionalFormatting sqref="V6:V205">
    <x:cfRule type="cellIs" dxfId="17" priority="8" operator="greaterThan">
      <x:formula>0</x:formula>
    </x:cfRule>
  </x:conditionalFormatting>
  <x:conditionalFormatting sqref="L6:L205">
    <x:cfRule type="containsText" dxfId="18" priority="9" operator="containsText" text="Có"/>
  </x:conditionalFormatting>
  <x:conditionalFormatting sqref="AA6:AA205">
    <x:cfRule type="containsText" dxfId="19" priority="10" operator="containsText" text="Cao"/>
  </x:conditionalFormatting>
  <x:conditionalFormatting sqref="K6:K205">
    <x:cfRule type="dataBar" priority="1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{97CB2153-50C3-5CF4-1C26-19C661D45D3A}</x14:id>
        </x:ext>
      </x:extLst>
    </x:cfRule>
  </x:conditionalFormatting>
  <x:dataValidations count="12">
    <x:dataValidation type="list" sqref="G6:G205">
      <x:formula1>'Cấu hình'!$I$12:$I$17</x:formula1>
    </x:dataValidation>
    <x:dataValidation type="list" sqref="D6:D205">
      <x:formula1>'Cấu hình'!$E$12:$E$15</x:formula1>
    </x:dataValidation>
    <x:dataValidation type="list" sqref="C6:C205">
      <x:formula1>'Cấu hình'!$A$12:$A$19</x:formula1>
    </x:dataValidation>
    <x:dataValidation type="list" sqref="F6:F205">
      <x:formula1>'Cấu hình'!$K$12:$K$21</x:formula1>
    </x:dataValidation>
    <x:dataValidation type="list" sqref="E6:E205">
      <x:formula1>'Cấu hình'!$M$12:$M$31</x:formula1>
    </x:dataValidation>
    <x:dataValidation type="list" sqref="AB6:AB205">
      <x:formula1>'Cấu hình'!$M$12:$M$31</x:formula1>
    </x:dataValidation>
    <x:dataValidation type="list" sqref="L6:L205">
      <x:formula1>'Cấu hình'!$Q$12:$Q$13</x:formula1>
    </x:dataValidation>
    <x:dataValidation type="list" sqref="Y6:Y205">
      <x:formula1>'Cấu hình'!$U$12:$U$21</x:formula1>
    </x:dataValidation>
    <x:dataValidation type="list" sqref="AA6:AA205">
      <x:formula1>'Cấu hình'!$S$12:$S$15</x:formula1>
    </x:dataValidation>
    <x:dataValidation type="list" sqref="Z6:Z205">
      <x:formula1>'Cấu hình'!$W$12:$W$15</x:formula1>
    </x:dataValidation>
    <x:dataValidation type="whole" operator="between" sqref="J6:J205">
      <x:formula1>0</x:formula1>
      <x:formula2>100</x:formula2>
    </x:dataValidation>
    <x:dataValidation type="decimal" operator="between" sqref="T6:T205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97772ccdec74a8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97CB2153-50C3-5CF4-1C26-19C661D45D3A}">
            <x14:dataBar gradient="1">
              <x14:cfvo type="min"/>
              <x14:cfvo type="max"/>
              <x14:fillColor rgb="FF2563EB"/>
            </x14:dataBar>
          </x14:cfRule>
          <xm:sqref>K6:K205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SPRINT CONTROL &amp; BURNDOWN</x:v>
      </x:c>
      <x:c r="B1" s="3" t="str">
        <x:v>SPRINT CONTROL &amp; BURNDOWN</x:v>
      </x:c>
      <x:c r="C1" s="3" t="str">
        <x:v>SPRINT CONTROL &amp; BURNDOWN</x:v>
      </x:c>
      <x:c r="D1" s="3" t="str">
        <x:v>SPRINT CONTROL &amp; BURNDOWN</x:v>
      </x:c>
      <x:c r="E1" s="3" t="str">
        <x:v>SPRINT CONTROL &amp; BURNDOWN</x:v>
      </x:c>
      <x:c r="F1" s="3" t="str">
        <x:v>SPRINT CONTROL &amp; BURNDOWN</x:v>
      </x:c>
      <x:c r="G1" s="3" t="str">
        <x:v>SPRINT CONTROL &amp; BURNDOWN</x:v>
      </x:c>
      <x:c r="H1" s="3" t="str">
        <x:v>SPRINT CONTROL &amp; BURNDOWN</x:v>
      </x:c>
      <x:c r="I1" s="3" t="str">
        <x:v>SPRINT CONTROL &amp; BURNDOWN</x:v>
      </x:c>
      <x:c r="J1" s="3" t="str">
        <x:v>SPRINT CONTROL &amp; BURNDOWN</x:v>
      </x:c>
      <x:c r="K1" s="3" t="str">
        <x:v>SPRINT CONTROL &amp; BURNDOWN</x:v>
      </x:c>
      <x:c r="L1" s="3" t="str">
        <x:v>SPRINT CONTROL &amp; BURNDOWN</x:v>
      </x:c>
      <x:c r="N1" s="142" t="str">
        <x:v>Ngày</x:v>
      </x:c>
      <x:c r="O1" s="142" t="str">
        <x:v>Ideal Remaining</x:v>
      </x:c>
      <x:c r="P1" s="142" t="str">
        <x:v>Actual Remaining</x:v>
      </x:c>
    </x:row>
    <x:row r="2" ht="28" customHeight="1">
      <x:c r="A2" s="7" t="str">
        <x:v>Đường Actual Remaining tự tổng hợp SP hoàn thành theo ngày từ hai đội. Mọi tham số lấy từ tab Cấu hình.</x:v>
      </x:c>
      <x:c r="B2" s="7" t="str">
        <x:v>Đường Actual Remaining tự tổng hợp SP hoàn thành theo ngày từ hai đội. Mọi tham số lấy từ tab Cấu hình.</x:v>
      </x:c>
      <x:c r="C2" s="7" t="str">
        <x:v>Đường Actual Remaining tự tổng hợp SP hoàn thành theo ngày từ hai đội. Mọi tham số lấy từ tab Cấu hình.</x:v>
      </x:c>
      <x:c r="D2" s="7" t="str">
        <x:v>Đường Actual Remaining tự tổng hợp SP hoàn thành theo ngày từ hai đội. Mọi tham số lấy từ tab Cấu hình.</x:v>
      </x:c>
      <x:c r="E2" s="7" t="str">
        <x:v>Đường Actual Remaining tự tổng hợp SP hoàn thành theo ngày từ hai đội. Mọi tham số lấy từ tab Cấu hình.</x:v>
      </x:c>
      <x:c r="F2" s="7" t="str">
        <x:v>Đường Actual Remaining tự tổng hợp SP hoàn thành theo ngày từ hai đội. Mọi tham số lấy từ tab Cấu hình.</x:v>
      </x:c>
      <x:c r="G2" s="7" t="str">
        <x:v>Đường Actual Remaining tự tổng hợp SP hoàn thành theo ngày từ hai đội. Mọi tham số lấy từ tab Cấu hình.</x:v>
      </x:c>
      <x:c r="H2" s="7" t="str">
        <x:v>Đường Actual Remaining tự tổng hợp SP hoàn thành theo ngày từ hai đội. Mọi tham số lấy từ tab Cấu hình.</x:v>
      </x:c>
      <x:c r="I2" s="7" t="str">
        <x:v>Đường Actual Remaining tự tổng hợp SP hoàn thành theo ngày từ hai đội. Mọi tham số lấy từ tab Cấu hình.</x:v>
      </x:c>
      <x:c r="J2" s="7" t="str">
        <x:v>Đường Actual Remaining tự tổng hợp SP hoàn thành theo ngày từ hai đội. Mọi tham số lấy từ tab Cấu hình.</x:v>
      </x:c>
      <x:c r="K2" s="7" t="str">
        <x:v>Đường Actual Remaining tự tổng hợp SP hoàn thành theo ngày từ hai đội. Mọi tham số lấy từ tab Cấu hình.</x:v>
      </x:c>
      <x:c r="L2" s="7" t="str">
        <x:v>Đường Actual Remaining tự tổng hợp SP hoàn thành theo ngày từ hai đội. Mọi tham số lấy từ tab Cấu hình.</x:v>
      </x:c>
      <x:c r="N2" s="142" t="str">
        <x:f>IF(A12="","",TEXT(A12,"mm-dd"))</x:f>
        <x:v>07-14</x:v>
      </x:c>
      <x:c r="O2" s="142" t="n">
        <x:f>IF(D12="","",D12)</x:f>
        <x:v>61</x:v>
      </x:c>
      <x:c r="P2" s="142" t="n">
        <x:f>IF(E12="","",E12)</x:f>
        <x:v>61</x:v>
      </x:c>
    </x:row>
    <x:row r="3">
      <x:c r="F3" s="142" t="str">
        <x:v>Ngưỡng cảnh báo</x:v>
      </x:c>
      <x:c r="N3" s="142" t="str">
        <x:f>IF(A13="","",TEXT(A13,"mm-dd"))</x:f>
        <x:v>07-15</x:v>
      </x:c>
      <x:c r="O3" s="142" t="n">
        <x:f>IF(D13="","",D13)</x:f>
        <x:v>56.307692307692314</x:v>
      </x:c>
      <x:c r="P3" s="142" t="n">
        <x:f>IF(E13="","",E13)</x:f>
        <x:v>61</x:v>
      </x:c>
    </x:row>
    <x:row r="4">
      <x:c r="A4" s="11" t="str">
        <x:v>Sprint</x:v>
      </x:c>
      <x:c r="B4" s="116" t="str">
        <x:f>'Cấu hình'!B5</x:f>
        <x:v>Sprint 24</x:v>
      </x:c>
      <x:c r="D4" s="11" t="str">
        <x:v>Tiến độ thời gian</x:v>
      </x:c>
      <x:c r="E4" s="144" t="n">
        <x:f>MIN(1,MAX(0,(TODAY()-B5)/MAX(1,B6-B5)))</x:f>
        <x:v>0.46153846153846156</x:v>
      </x:c>
      <x:c r="F4" s="143" t="n">
        <x:f>'Cấu hình'!D5</x:f>
        <x:v>0.1</x:v>
      </x:c>
      <x:c r="N4" s="142" t="str">
        <x:f>IF(A14="","",TEXT(A14,"mm-dd"))</x:f>
        <x:v>07-16</x:v>
      </x:c>
      <x:c r="O4" s="142" t="n">
        <x:f>IF(D14="","",D14)</x:f>
        <x:v>51.61538461538461</x:v>
      </x:c>
      <x:c r="P4" s="142" t="n">
        <x:f>IF(E14="","",E14)</x:f>
        <x:v>61</x:v>
      </x:c>
    </x:row>
    <x:row r="5">
      <x:c r="A5" s="11" t="str">
        <x:v>Bắt đầu</x:v>
      </x:c>
      <x:c r="B5" s="117" t="n">
        <x:f>'Cấu hình'!B6</x:f>
        <x:v>46217</x:v>
      </x:c>
      <x:c r="D5" s="11" t="str">
        <x:v>Tiến độ thực tế</x:v>
      </x:c>
      <x:c r="E5" s="144" t="n">
        <x:f>IFERROR(B8/B7,0)</x:f>
        <x:v>0.13114754098360656</x:v>
      </x:c>
      <x:c r="N5" s="142" t="str">
        <x:f>IF(A15="","",TEXT(A15,"mm-dd"))</x:f>
        <x:v>07-17</x:v>
      </x:c>
      <x:c r="O5" s="142" t="n">
        <x:f>IF(D15="","",D15)</x:f>
        <x:v>46.92307692307692</x:v>
      </x:c>
      <x:c r="P5" s="142" t="n">
        <x:f>IF(E15="","",E15)</x:f>
        <x:v>58</x:v>
      </x:c>
    </x:row>
    <x:row r="6">
      <x:c r="A6" s="11" t="str">
        <x:v>Kết thúc</x:v>
      </x:c>
      <x:c r="B6" s="117" t="n">
        <x:f>'Cấu hình'!B7</x:f>
        <x:v>46230</x:v>
      </x:c>
      <x:c r="D6" s="11" t="str">
        <x:v>Lệch kế hoạch</x:v>
      </x:c>
      <x:c r="E6" s="144" t="n">
        <x:f>E5-E4</x:f>
        <x:v>-0.33039092055485497</x:v>
      </x:c>
      <x:c r="N6" s="142" t="str">
        <x:f>IF(A16="","",TEXT(A16,"mm-dd"))</x:f>
        <x:v>07-18</x:v>
      </x:c>
      <x:c r="O6" s="142" t="n">
        <x:f>IF(D16="","",D16)</x:f>
        <x:v>42.230769230769226</x:v>
      </x:c>
      <x:c r="P6" s="142" t="n">
        <x:f>IF(E16="","",E16)</x:f>
        <x:v>53</x:v>
      </x:c>
    </x:row>
    <x:row r="7">
      <x:c r="A7" s="11" t="str">
        <x:v>Scope SP</x:v>
      </x:c>
      <x:c r="B7" s="141" t="n">
        <x:f>SUMIFS('Backend'!$J$6:$J$205,'Backend'!$F$6:$F$205,$B$4)+SUMIFS('Frontend'!$J$6:$J$205,'Frontend'!$F$6:$F$205,$B$4)</x:f>
        <x:v>61</x:v>
      </x:c>
      <x:c r="D7" s="11" t="str">
        <x:v>Tình trạng</x:v>
      </x:c>
      <x:c r="E7" s="116" t="str">
        <x:f>IF(E6+F4&lt;0,"Đỏ - Chậm tiến độ",IF(E6&lt;0,"Vàng - Cần theo dõi","Xanh - Đúng kế hoạch"))</x:f>
        <x:v>Đỏ - Chậm tiến độ</x:v>
      </x:c>
      <x:c r="N7" s="142" t="str">
        <x:f>IF(A17="","",TEXT(A17,"mm-dd"))</x:f>
        <x:v>07-19</x:v>
      </x:c>
      <x:c r="O7" s="142" t="n">
        <x:f>IF(D17="","",D17)</x:f>
        <x:v>37.53846153846154</x:v>
      </x:c>
      <x:c r="P7" s="142" t="n">
        <x:f>IF(E17="","",E17)</x:f>
        <x:v>53</x:v>
      </x:c>
    </x:row>
    <x:row r="8">
      <x:c r="A8" s="11" t="str">
        <x:v>Done SP</x:v>
      </x:c>
      <x:c r="B8" s="141" t="n">
        <x:f>SUMIFS('Backend'!$J$6:$J$205,'Backend'!$F$6:$F$205,$B$4,'Backend'!$C$6:$C$205,"Done")+SUMIFS('Frontend'!$J$6:$J$205,'Frontend'!$F$6:$F$205,$B$4,'Frontend'!$C$6:$C$205,"Done")</x:f>
        <x:v>8</x:v>
      </x:c>
      <x:c r="D8" s="11" t="str">
        <x:v>Capacity dùng</x:v>
      </x:c>
      <x:c r="E8" s="144" t="n">
        <x:f>IFERROR(B7/'Cấu hình'!B8,0)</x:f>
        <x:v>0.8472222222222222</x:v>
      </x:c>
      <x:c r="N8" s="142" t="str">
        <x:f>IF(A18="","",TEXT(A18,"mm-dd"))</x:f>
        <x:v>07-20</x:v>
      </x:c>
      <x:c r="O8" s="142" t="n">
        <x:f>IF(D18="","",D18)</x:f>
        <x:v>32.84615384615385</x:v>
      </x:c>
      <x:c r="P8" s="142" t="n">
        <x:f>IF(E18="","",E18)</x:f>
        <x:v>53</x:v>
      </x:c>
    </x:row>
    <x:row r="9">
      <x:c r="N9" s="142" t="str">
        <x:f>IF(A19="","",TEXT(A19,"mm-dd"))</x:f>
        <x:v>07-21</x:v>
      </x:c>
      <x:c r="O9" s="142" t="n">
        <x:f>IF(D19="","",D19)</x:f>
        <x:v>28.153846153846157</x:v>
      </x:c>
      <x:c r="P9" s="142" t="n">
        <x:f>IF(E19="","",E19)</x:f>
        <x:v>53</x:v>
      </x:c>
    </x:row>
    <x:row r="10">
      <x:c r="N10" s="142" t="str">
        <x:f>IF(A20="","",TEXT(A20,"mm-dd"))</x:f>
        <x:v>07-22</x:v>
      </x:c>
      <x:c r="O10" s="142" t="n">
        <x:f>IF(D20="","",D20)</x:f>
        <x:v>23.46153846153846</x:v>
      </x:c>
      <x:c r="P10" s="142" t="n">
        <x:f>IF(E20="","",E20)</x:f>
        <x:v>53</x:v>
      </x:c>
    </x:row>
    <x:row r="11" ht="34" customHeight="1">
      <x:c r="A11" s="30" t="str">
        <x:v>Ngày</x:v>
      </x:c>
      <x:c r="B11" s="31" t="str">
        <x:v>Scope SP</x:v>
      </x:c>
      <x:c r="C11" s="31" t="str">
        <x:v>SP hoàn thành lũy kế</x:v>
      </x:c>
      <x:c r="D11" s="31" t="str">
        <x:v>Ideal Remaining</x:v>
      </x:c>
      <x:c r="E11" s="32" t="str">
        <x:v>Actual Remaining</x:v>
      </x:c>
      <x:c r="N11" s="142" t="str">
        <x:f>IF(A21="","",TEXT(A21,"mm-dd"))</x:f>
        <x:v>07-23</x:v>
      </x:c>
      <x:c r="O11" s="142" t="n">
        <x:f>IF(D21="","",D21)</x:f>
        <x:v>18.76923076923077</x:v>
      </x:c>
      <x:c r="P11" s="142" t="n">
        <x:f>IF(E21="","",E21)</x:f>
        <x:v>53</x:v>
      </x:c>
    </x:row>
    <x:row r="12">
      <x:c r="A12" s="149" t="n">
        <x:f>B5</x:f>
        <x:v>46217</x:v>
      </x:c>
      <x:c r="B12" s="150" t="n">
        <x:f>IF(A12="","",$B$7)</x:f>
        <x:v>61</x:v>
      </x:c>
      <x:c r="C12" s="150" t="n">
        <x:f>IF(A12="","",SUMIFS('Backend'!$J$6:$J$205,'Backend'!$F$6:$F$205,$B$4,'Backend'!$C$6:$C$205,"Done",'Backend'!$S$6:$S$205,"&lt;="&amp;A12)+SUMIFS('Frontend'!$J$6:$J$205,'Frontend'!$F$6:$F$205,$B$4,'Frontend'!$C$6:$C$205,"Done",'Frontend'!$S$6:$S$205,"&lt;="&amp;A12))</x:f>
        <x:v>0</x:v>
      </x:c>
      <x:c r="D12" s="150" t="n">
        <x:f>IF(A12="","",MAX(0,$B$7*(1-(A12-$B$5)/MAX(1,$B$6-$B$5))))</x:f>
        <x:v>61</x:v>
      </x:c>
      <x:c r="E12" s="150" t="n">
        <x:f>IF(A12="","",MAX(0,$B$7-C12))</x:f>
        <x:v>61</x:v>
      </x:c>
      <x:c r="N12" s="142" t="str">
        <x:f>IF(A22="","",TEXT(A22,"mm-dd"))</x:f>
        <x:v>07-24</x:v>
      </x:c>
      <x:c r="O12" s="142" t="n">
        <x:f>IF(D22="","",D22)</x:f>
        <x:v>14.076923076923075</x:v>
      </x:c>
      <x:c r="P12" s="142" t="n">
        <x:f>IF(E22="","",E22)</x:f>
        <x:v>53</x:v>
      </x:c>
    </x:row>
    <x:row r="13">
      <x:c r="A13" s="151" t="n">
        <x:f>IF(A12+1&lt;=$B$6,A12+1,"")</x:f>
        <x:v>46218</x:v>
      </x:c>
      <x:c r="B13" s="152" t="n">
        <x:f>IF(A13="","",$B$7)</x:f>
        <x:v>61</x:v>
      </x:c>
      <x:c r="C13" s="152" t="n">
        <x:f>IF(A13="","",SUMIFS('Backend'!$J$6:$J$205,'Backend'!$F$6:$F$205,$B$4,'Backend'!$C$6:$C$205,"Done",'Backend'!$S$6:$S$205,"&lt;="&amp;A13)+SUMIFS('Frontend'!$J$6:$J$205,'Frontend'!$F$6:$F$205,$B$4,'Frontend'!$C$6:$C$205,"Done",'Frontend'!$S$6:$S$205,"&lt;="&amp;A13))</x:f>
        <x:v>0</x:v>
      </x:c>
      <x:c r="D13" s="152" t="n">
        <x:f>IF(A13="","",MAX(0,$B$7*(1-(A13-$B$5)/MAX(1,$B$6-$B$5))))</x:f>
        <x:v>56.307692307692314</x:v>
      </x:c>
      <x:c r="E13" s="152" t="n">
        <x:f>IF(A13="","",MAX(0,$B$7-C13))</x:f>
        <x:v>61</x:v>
      </x:c>
      <x:c r="N13" s="142" t="str">
        <x:f>IF(A23="","",TEXT(A23,"mm-dd"))</x:f>
        <x:v>07-25</x:v>
      </x:c>
      <x:c r="O13" s="142" t="n">
        <x:f>IF(D23="","",D23)</x:f>
        <x:v>9.384615384615385</x:v>
      </x:c>
      <x:c r="P13" s="142" t="n">
        <x:f>IF(E23="","",E23)</x:f>
        <x:v>53</x:v>
      </x:c>
    </x:row>
    <x:row r="14">
      <x:c r="A14" s="151" t="n">
        <x:f>IF(A13+1&lt;=$B$6,A13+1,"")</x:f>
        <x:v>46219</x:v>
      </x:c>
      <x:c r="B14" s="152" t="n">
        <x:f>IF(A14="","",$B$7)</x:f>
        <x:v>61</x:v>
      </x:c>
      <x:c r="C14" s="152" t="n">
        <x:f>IF(A14="","",SUMIFS('Backend'!$J$6:$J$205,'Backend'!$F$6:$F$205,$B$4,'Backend'!$C$6:$C$205,"Done",'Backend'!$S$6:$S$205,"&lt;="&amp;A14)+SUMIFS('Frontend'!$J$6:$J$205,'Frontend'!$F$6:$F$205,$B$4,'Frontend'!$C$6:$C$205,"Done",'Frontend'!$S$6:$S$205,"&lt;="&amp;A14))</x:f>
        <x:v>0</x:v>
      </x:c>
      <x:c r="D14" s="152" t="n">
        <x:f>IF(A14="","",MAX(0,$B$7*(1-(A14-$B$5)/MAX(1,$B$6-$B$5))))</x:f>
        <x:v>51.61538461538461</x:v>
      </x:c>
      <x:c r="E14" s="152" t="n">
        <x:f>IF(A14="","",MAX(0,$B$7-C14))</x:f>
        <x:v>61</x:v>
      </x:c>
      <x:c r="N14" s="142" t="str">
        <x:f>IF(A24="","",TEXT(A24,"mm-dd"))</x:f>
        <x:v>07-26</x:v>
      </x:c>
      <x:c r="O14" s="142" t="n">
        <x:f>IF(D24="","",D24)</x:f>
        <x:v>4.692307692307689</x:v>
      </x:c>
      <x:c r="P14" s="142" t="n">
        <x:f>IF(E24="","",E24)</x:f>
        <x:v>53</x:v>
      </x:c>
    </x:row>
    <x:row r="15">
      <x:c r="A15" s="151" t="n">
        <x:f>IF(A14+1&lt;=$B$6,A14+1,"")</x:f>
        <x:v>46220</x:v>
      </x:c>
      <x:c r="B15" s="152" t="n">
        <x:f>IF(A15="","",$B$7)</x:f>
        <x:v>61</x:v>
      </x:c>
      <x:c r="C15" s="152" t="n">
        <x:f>IF(A15="","",SUMIFS('Backend'!$J$6:$J$205,'Backend'!$F$6:$F$205,$B$4,'Backend'!$C$6:$C$205,"Done",'Backend'!$S$6:$S$205,"&lt;="&amp;A15)+SUMIFS('Frontend'!$J$6:$J$205,'Frontend'!$F$6:$F$205,$B$4,'Frontend'!$C$6:$C$205,"Done",'Frontend'!$S$6:$S$205,"&lt;="&amp;A15))</x:f>
        <x:v>3</x:v>
      </x:c>
      <x:c r="D15" s="152" t="n">
        <x:f>IF(A15="","",MAX(0,$B$7*(1-(A15-$B$5)/MAX(1,$B$6-$B$5))))</x:f>
        <x:v>46.92307692307692</x:v>
      </x:c>
      <x:c r="E15" s="152" t="n">
        <x:f>IF(A15="","",MAX(0,$B$7-C15))</x:f>
        <x:v>58</x:v>
      </x:c>
      <x:c r="N15" s="142" t="str">
        <x:f>IF(A25="","",TEXT(A25,"mm-dd"))</x:f>
        <x:v>07-27</x:v>
      </x:c>
      <x:c r="O15" s="142" t="str">
        <x:f>IF(D25="","",D25)</x:f>
      </x:c>
      <x:c r="P15" s="142" t="n">
        <x:f>IF(E25="","",E25)</x:f>
        <x:v>53</x:v>
      </x:c>
    </x:row>
    <x:row r="16">
      <x:c r="A16" s="151" t="n">
        <x:f>IF(A15+1&lt;=$B$6,A15+1,"")</x:f>
        <x:v>46221</x:v>
      </x:c>
      <x:c r="B16" s="152" t="n">
        <x:f>IF(A16="","",$B$7)</x:f>
        <x:v>61</x:v>
      </x:c>
      <x:c r="C16" s="152" t="n">
        <x:f>IF(A16="","",SUMIFS('Backend'!$J$6:$J$205,'Backend'!$F$6:$F$205,$B$4,'Backend'!$C$6:$C$205,"Done",'Backend'!$S$6:$S$205,"&lt;="&amp;A16)+SUMIFS('Frontend'!$J$6:$J$205,'Frontend'!$F$6:$F$205,$B$4,'Frontend'!$C$6:$C$205,"Done",'Frontend'!$S$6:$S$205,"&lt;="&amp;A16))</x:f>
        <x:v>8</x:v>
      </x:c>
      <x:c r="D16" s="152" t="n">
        <x:f>IF(A16="","",MAX(0,$B$7*(1-(A16-$B$5)/MAX(1,$B$6-$B$5))))</x:f>
        <x:v>42.230769230769226</x:v>
      </x:c>
      <x:c r="E16" s="152" t="n">
        <x:f>IF(A16="","",MAX(0,$B$7-C16))</x:f>
        <x:v>53</x:v>
      </x:c>
      <x:c r="N16" s="142" t="str">
        <x:f>IF(A26="","",TEXT(A26,"mm-dd"))</x:f>
      </x:c>
      <x:c r="O16" s="142" t="str">
        <x:f>IF(D26="","",D26)</x:f>
      </x:c>
      <x:c r="P16" s="142" t="str">
        <x:f>IF(E26="","",E26)</x:f>
      </x:c>
    </x:row>
    <x:row r="17">
      <x:c r="A17" s="151" t="n">
        <x:f>IF(A16+1&lt;=$B$6,A16+1,"")</x:f>
        <x:v>46222</x:v>
      </x:c>
      <x:c r="B17" s="152" t="n">
        <x:f>IF(A17="","",$B$7)</x:f>
        <x:v>61</x:v>
      </x:c>
      <x:c r="C17" s="152" t="n">
        <x:f>IF(A17="","",SUMIFS('Backend'!$J$6:$J$205,'Backend'!$F$6:$F$205,$B$4,'Backend'!$C$6:$C$205,"Done",'Backend'!$S$6:$S$205,"&lt;="&amp;A17)+SUMIFS('Frontend'!$J$6:$J$205,'Frontend'!$F$6:$F$205,$B$4,'Frontend'!$C$6:$C$205,"Done",'Frontend'!$S$6:$S$205,"&lt;="&amp;A17))</x:f>
        <x:v>8</x:v>
      </x:c>
      <x:c r="D17" s="152" t="n">
        <x:f>IF(A17="","",MAX(0,$B$7*(1-(A17-$B$5)/MAX(1,$B$6-$B$5))))</x:f>
        <x:v>37.53846153846154</x:v>
      </x:c>
      <x:c r="E17" s="152" t="n">
        <x:f>IF(A17="","",MAX(0,$B$7-C17))</x:f>
        <x:v>53</x:v>
      </x:c>
      <x:c r="N17" s="142" t="str">
        <x:f>IF(A27="","",TEXT(A27,"mm-dd"))</x:f>
        <x:v>01-01</x:v>
      </x:c>
      <x:c r="O17" s="142" t="n">
        <x:f>IF(D27="","",D27)</x:f>
        <x:v>216920.69230769228</x:v>
      </x:c>
      <x:c r="P17" s="142" t="n">
        <x:f>IF(E27="","",E27)</x:f>
        <x:v>61</x:v>
      </x:c>
    </x:row>
    <x:row r="18">
      <x:c r="A18" s="151" t="n">
        <x:f>IF(A17+1&lt;=$B$6,A17+1,"")</x:f>
        <x:v>46223</x:v>
      </x:c>
      <x:c r="B18" s="152" t="n">
        <x:f>IF(A18="","",$B$7)</x:f>
        <x:v>61</x:v>
      </x:c>
      <x:c r="C18" s="152" t="n">
        <x:f>IF(A18="","",SUMIFS('Backend'!$J$6:$J$205,'Backend'!$F$6:$F$205,$B$4,'Backend'!$C$6:$C$205,"Done",'Backend'!$S$6:$S$205,"&lt;="&amp;A18)+SUMIFS('Frontend'!$J$6:$J$205,'Frontend'!$F$6:$F$205,$B$4,'Frontend'!$C$6:$C$205,"Done",'Frontend'!$S$6:$S$205,"&lt;="&amp;A18))</x:f>
        <x:v>8</x:v>
      </x:c>
      <x:c r="D18" s="152" t="n">
        <x:f>IF(A18="","",MAX(0,$B$7*(1-(A18-$B$5)/MAX(1,$B$6-$B$5))))</x:f>
        <x:v>32.84615384615385</x:v>
      </x:c>
      <x:c r="E18" s="152" t="n">
        <x:f>IF(A18="","",MAX(0,$B$7-C18))</x:f>
        <x:v>53</x:v>
      </x:c>
      <x:c r="N18" s="142" t="str">
        <x:f>IF(A28="","",TEXT(A28,"mm-dd"))</x:f>
        <x:v>01-02</x:v>
      </x:c>
      <x:c r="O18" s="142" t="n">
        <x:f>IF(D28="","",D28)</x:f>
        <x:v>216916</x:v>
      </x:c>
      <x:c r="P18" s="142" t="n">
        <x:f>IF(E28="","",E28)</x:f>
        <x:v>61</x:v>
      </x:c>
    </x:row>
    <x:row r="19">
      <x:c r="A19" s="151" t="n">
        <x:f>IF(A18+1&lt;=$B$6,A18+1,"")</x:f>
        <x:v>46224</x:v>
      </x:c>
      <x:c r="B19" s="152" t="n">
        <x:f>IF(A19="","",$B$7)</x:f>
        <x:v>61</x:v>
      </x:c>
      <x:c r="C19" s="152" t="n">
        <x:f>IF(A19="","",SUMIFS('Backend'!$J$6:$J$205,'Backend'!$F$6:$F$205,$B$4,'Backend'!$C$6:$C$205,"Done",'Backend'!$S$6:$S$205,"&lt;="&amp;A19)+SUMIFS('Frontend'!$J$6:$J$205,'Frontend'!$F$6:$F$205,$B$4,'Frontend'!$C$6:$C$205,"Done",'Frontend'!$S$6:$S$205,"&lt;="&amp;A19))</x:f>
        <x:v>8</x:v>
      </x:c>
      <x:c r="D19" s="152" t="n">
        <x:f>IF(A19="","",MAX(0,$B$7*(1-(A19-$B$5)/MAX(1,$B$6-$B$5))))</x:f>
        <x:v>28.153846153846157</x:v>
      </x:c>
      <x:c r="E19" s="152" t="n">
        <x:f>IF(A19="","",MAX(0,$B$7-C19))</x:f>
        <x:v>53</x:v>
      </x:c>
      <x:c r="N19" s="142" t="str">
        <x:f>IF(A29="","",TEXT(A29,"mm-dd"))</x:f>
        <x:v>01-03</x:v>
      </x:c>
      <x:c r="O19" s="142" t="n">
        <x:f>IF(D29="","",D29)</x:f>
        <x:v>216911.30769230772</x:v>
      </x:c>
      <x:c r="P19" s="142" t="n">
        <x:f>IF(E29="","",E29)</x:f>
        <x:v>61</x:v>
      </x:c>
    </x:row>
    <x:row r="20">
      <x:c r="A20" s="151" t="n">
        <x:f>IF(A19+1&lt;=$B$6,A19+1,"")</x:f>
        <x:v>46225</x:v>
      </x:c>
      <x:c r="B20" s="152" t="n">
        <x:f>IF(A20="","",$B$7)</x:f>
        <x:v>61</x:v>
      </x:c>
      <x:c r="C20" s="152" t="n">
        <x:f>IF(A20="","",SUMIFS('Backend'!$J$6:$J$205,'Backend'!$F$6:$F$205,$B$4,'Backend'!$C$6:$C$205,"Done",'Backend'!$S$6:$S$205,"&lt;="&amp;A20)+SUMIFS('Frontend'!$J$6:$J$205,'Frontend'!$F$6:$F$205,$B$4,'Frontend'!$C$6:$C$205,"Done",'Frontend'!$S$6:$S$205,"&lt;="&amp;A20))</x:f>
        <x:v>8</x:v>
      </x:c>
      <x:c r="D20" s="152" t="n">
        <x:f>IF(A20="","",MAX(0,$B$7*(1-(A20-$B$5)/MAX(1,$B$6-$B$5))))</x:f>
        <x:v>23.46153846153846</x:v>
      </x:c>
      <x:c r="E20" s="152" t="n">
        <x:f>IF(A20="","",MAX(0,$B$7-C20))</x:f>
        <x:v>53</x:v>
      </x:c>
      <x:c r="N20" s="142" t="str">
        <x:f>IF(A30="","",TEXT(A30,"mm-dd"))</x:f>
        <x:v>01-04</x:v>
      </x:c>
      <x:c r="O20" s="142" t="n">
        <x:f>IF(D30="","",D30)</x:f>
        <x:v>216906.61538461538</x:v>
      </x:c>
      <x:c r="P20" s="142" t="n">
        <x:f>IF(E30="","",E30)</x:f>
        <x:v>61</x:v>
      </x:c>
    </x:row>
    <x:row r="21">
      <x:c r="A21" s="151" t="n">
        <x:f>IF(A20+1&lt;=$B$6,A20+1,"")</x:f>
        <x:v>46226</x:v>
      </x:c>
      <x:c r="B21" s="152" t="n">
        <x:f>IF(A21="","",$B$7)</x:f>
        <x:v>61</x:v>
      </x:c>
      <x:c r="C21" s="152" t="n">
        <x:f>IF(A21="","",SUMIFS('Backend'!$J$6:$J$205,'Backend'!$F$6:$F$205,$B$4,'Backend'!$C$6:$C$205,"Done",'Backend'!$S$6:$S$205,"&lt;="&amp;A21)+SUMIFS('Frontend'!$J$6:$J$205,'Frontend'!$F$6:$F$205,$B$4,'Frontend'!$C$6:$C$205,"Done",'Frontend'!$S$6:$S$205,"&lt;="&amp;A21))</x:f>
        <x:v>8</x:v>
      </x:c>
      <x:c r="D21" s="152" t="n">
        <x:f>IF(A21="","",MAX(0,$B$7*(1-(A21-$B$5)/MAX(1,$B$6-$B$5))))</x:f>
        <x:v>18.76923076923077</x:v>
      </x:c>
      <x:c r="E21" s="152" t="n">
        <x:f>IF(A21="","",MAX(0,$B$7-C21))</x:f>
        <x:v>53</x:v>
      </x:c>
      <x:c r="N21" s="142" t="str">
        <x:f>IF(A31="","",TEXT(A31,"mm-dd"))</x:f>
        <x:v>01-05</x:v>
      </x:c>
      <x:c r="O21" s="142" t="n">
        <x:f>IF(D31="","",D31)</x:f>
        <x:v>216901.9230769231</x:v>
      </x:c>
      <x:c r="P21" s="142" t="n">
        <x:f>IF(E31="","",E31)</x:f>
        <x:v>61</x:v>
      </x:c>
    </x:row>
    <x:row r="22">
      <x:c r="A22" s="151" t="n">
        <x:f>IF(A21+1&lt;=$B$6,A21+1,"")</x:f>
        <x:v>46227</x:v>
      </x:c>
      <x:c r="B22" s="152" t="n">
        <x:f>IF(A22="","",$B$7)</x:f>
        <x:v>61</x:v>
      </x:c>
      <x:c r="C22" s="152" t="n">
        <x:f>IF(A22="","",SUMIFS('Backend'!$J$6:$J$205,'Backend'!$F$6:$F$205,$B$4,'Backend'!$C$6:$C$205,"Done",'Backend'!$S$6:$S$205,"&lt;="&amp;A22)+SUMIFS('Frontend'!$J$6:$J$205,'Frontend'!$F$6:$F$205,$B$4,'Frontend'!$C$6:$C$205,"Done",'Frontend'!$S$6:$S$205,"&lt;="&amp;A22))</x:f>
        <x:v>8</x:v>
      </x:c>
      <x:c r="D22" s="152" t="n">
        <x:f>IF(A22="","",MAX(0,$B$7*(1-(A22-$B$5)/MAX(1,$B$6-$B$5))))</x:f>
        <x:v>14.076923076923075</x:v>
      </x:c>
      <x:c r="E22" s="152" t="n">
        <x:f>IF(A22="","",MAX(0,$B$7-C22))</x:f>
        <x:v>53</x:v>
      </x:c>
      <x:c r="N22" s="142" t="str">
        <x:f>IF(A32="","",TEXT(A32,"mm-dd"))</x:f>
        <x:v>01-06</x:v>
      </x:c>
      <x:c r="O22" s="142" t="n">
        <x:f>IF(D32="","",D32)</x:f>
        <x:v>216897.23076923075</x:v>
      </x:c>
      <x:c r="P22" s="142" t="n">
        <x:f>IF(E32="","",E32)</x:f>
        <x:v>61</x:v>
      </x:c>
    </x:row>
    <x:row r="23">
      <x:c r="A23" s="151" t="n">
        <x:f>IF(A22+1&lt;=$B$6,A22+1,"")</x:f>
        <x:v>46228</x:v>
      </x:c>
      <x:c r="B23" s="152" t="n">
        <x:f>IF(A23="","",$B$7)</x:f>
        <x:v>61</x:v>
      </x:c>
      <x:c r="C23" s="152" t="n">
        <x:f>IF(A23="","",SUMIFS('Backend'!$J$6:$J$205,'Backend'!$F$6:$F$205,$B$4,'Backend'!$C$6:$C$205,"Done",'Backend'!$S$6:$S$205,"&lt;="&amp;A23)+SUMIFS('Frontend'!$J$6:$J$205,'Frontend'!$F$6:$F$205,$B$4,'Frontend'!$C$6:$C$205,"Done",'Frontend'!$S$6:$S$205,"&lt;="&amp;A23))</x:f>
        <x:v>8</x:v>
      </x:c>
      <x:c r="D23" s="152" t="n">
        <x:f>IF(A23="","",MAX(0,$B$7*(1-(A23-$B$5)/MAX(1,$B$6-$B$5))))</x:f>
        <x:v>9.384615384615385</x:v>
      </x:c>
      <x:c r="E23" s="152" t="n">
        <x:f>IF(A23="","",MAX(0,$B$7-C23))</x:f>
        <x:v>53</x:v>
      </x:c>
      <x:c r="N23" s="142" t="str">
        <x:f>IF(A33="","",TEXT(A33,"mm-dd"))</x:f>
        <x:v>01-07</x:v>
      </x:c>
      <x:c r="O23" s="142" t="n">
        <x:f>IF(D33="","",D33)</x:f>
        <x:v>216892.53846153847</x:v>
      </x:c>
      <x:c r="P23" s="142" t="n">
        <x:f>IF(E33="","",E33)</x:f>
        <x:v>61</x:v>
      </x:c>
    </x:row>
    <x:row r="24">
      <x:c r="A24" s="151" t="n">
        <x:f>IF(A23+1&lt;=$B$6,A23+1,"")</x:f>
        <x:v>46229</x:v>
      </x:c>
      <x:c r="B24" s="152" t="n">
        <x:f>IF(A24="","",$B$7)</x:f>
        <x:v>61</x:v>
      </x:c>
      <x:c r="C24" s="152" t="n">
        <x:f>IF(A24="","",SUMIFS('Backend'!$J$6:$J$205,'Backend'!$F$6:$F$205,$B$4,'Backend'!$C$6:$C$205,"Done",'Backend'!$S$6:$S$205,"&lt;="&amp;A24)+SUMIFS('Frontend'!$J$6:$J$205,'Frontend'!$F$6:$F$205,$B$4,'Frontend'!$C$6:$C$205,"Done",'Frontend'!$S$6:$S$205,"&lt;="&amp;A24))</x:f>
        <x:v>8</x:v>
      </x:c>
      <x:c r="D24" s="152" t="n">
        <x:f>IF(A24="","",MAX(0,$B$7*(1-(A24-$B$5)/MAX(1,$B$6-$B$5))))</x:f>
        <x:v>4.692307692307689</x:v>
      </x:c>
      <x:c r="E24" s="152" t="n">
        <x:f>IF(A24="","",MAX(0,$B$7-C24))</x:f>
        <x:v>53</x:v>
      </x:c>
      <x:c r="N24" s="142" t="str">
        <x:f>IF(A34="","",TEXT(A34,"mm-dd"))</x:f>
        <x:v>01-08</x:v>
      </x:c>
      <x:c r="O24" s="142" t="n">
        <x:f>IF(D34="","",D34)</x:f>
        <x:v>216887.84615384616</x:v>
      </x:c>
      <x:c r="P24" s="142" t="n">
        <x:f>IF(E34="","",E34)</x:f>
        <x:v>61</x:v>
      </x:c>
    </x:row>
    <x:row r="25">
      <x:c r="A25" s="151" t="n">
        <x:f>IF(A24+1&lt;=$B$6,A24+1,"")</x:f>
        <x:v>46230</x:v>
      </x:c>
      <x:c r="B25" s="152" t="n">
        <x:f>IF(A25="","",$B$7)</x:f>
        <x:v>61</x:v>
      </x:c>
      <x:c r="C25" s="152" t="n">
        <x:f>IF(A25="","",SUMIFS('Backend'!$J$6:$J$205,'Backend'!$F$6:$F$205,$B$4,'Backend'!$C$6:$C$205,"Done",'Backend'!$S$6:$S$205,"&lt;="&amp;A25)+SUMIFS('Frontend'!$J$6:$J$205,'Frontend'!$F$6:$F$205,$B$4,'Frontend'!$C$6:$C$205,"Done",'Frontend'!$S$6:$S$205,"&lt;="&amp;A25))</x:f>
        <x:v>8</x:v>
      </x:c>
      <x:c r="D25" s="152" t="n">
        <x:f>IF(A25="","",MAX(0,$B$7*(1-(A25-$B$5)/MAX(1,$B$6-$B$5))))</x:f>
        <x:v>0</x:v>
      </x:c>
      <x:c r="E25" s="152" t="n">
        <x:f>IF(A25="","",MAX(0,$B$7-C25))</x:f>
        <x:v>53</x:v>
      </x:c>
      <x:c r="N25" s="142" t="str">
        <x:f>IF(A35="","",TEXT(A35,"mm-dd"))</x:f>
        <x:v>01-09</x:v>
      </x:c>
      <x:c r="O25" s="142" t="n">
        <x:f>IF(D35="","",D35)</x:f>
        <x:v>216883.15384615384</x:v>
      </x:c>
      <x:c r="P25" s="142" t="n">
        <x:f>IF(E35="","",E35)</x:f>
        <x:v>61</x:v>
      </x:c>
    </x:row>
    <x:row r="26">
      <x:c r="A26" s="151" t="str">
        <x:f>IF(A25+1&lt;=$B$6,A25+1,"")</x:f>
      </x:c>
      <x:c r="B26" s="152" t="str">
        <x:f>IF(A26="","",$B$7)</x:f>
      </x:c>
      <x:c r="C26" s="152" t="str">
        <x:f>IF(A26="","",SUMIFS('Backend'!$J$6:$J$205,'Backend'!$F$6:$F$205,$B$4,'Backend'!$C$6:$C$205,"Done",'Backend'!$S$6:$S$205,"&lt;="&amp;A26)+SUMIFS('Frontend'!$J$6:$J$205,'Frontend'!$F$6:$F$205,$B$4,'Frontend'!$C$6:$C$205,"Done",'Frontend'!$S$6:$S$205,"&lt;="&amp;A26))</x:f>
      </x:c>
      <x:c r="D26" s="152" t="str">
        <x:f>IF(A26="","",MAX(0,$B$7*(1-(A26-$B$5)/MAX(1,$B$6-$B$5))))</x:f>
      </x:c>
      <x:c r="E26" s="152" t="str">
        <x:f>IF(A26="","",MAX(0,$B$7-C26))</x:f>
      </x:c>
      <x:c r="N26" s="142" t="str">
        <x:f>IF(A36="","",TEXT(A36,"mm-dd"))</x:f>
        <x:v>01-10</x:v>
      </x:c>
      <x:c r="O26" s="142" t="n">
        <x:f>IF(D36="","",D36)</x:f>
        <x:v>216878.46153846153</x:v>
      </x:c>
      <x:c r="P26" s="142" t="n">
        <x:f>IF(E36="","",E36)</x:f>
        <x:v>61</x:v>
      </x:c>
    </x:row>
    <x:row r="27">
      <x:c r="A27" s="151" t="n">
        <x:f>IF(A26+1&lt;=$B$6,A26+1,"")</x:f>
        <x:v>1</x:v>
      </x:c>
      <x:c r="B27" s="152" t="n">
        <x:f>IF(A27="","",$B$7)</x:f>
        <x:v>61</x:v>
      </x:c>
      <x:c r="C27" s="152" t="n">
        <x:f>IF(A27="","",SUMIFS('Backend'!$J$6:$J$205,'Backend'!$F$6:$F$205,$B$4,'Backend'!$C$6:$C$205,"Done",'Backend'!$S$6:$S$205,"&lt;="&amp;A27)+SUMIFS('Frontend'!$J$6:$J$205,'Frontend'!$F$6:$F$205,$B$4,'Frontend'!$C$6:$C$205,"Done",'Frontend'!$S$6:$S$205,"&lt;="&amp;A27))</x:f>
        <x:v>0</x:v>
      </x:c>
      <x:c r="D27" s="152" t="n">
        <x:f>IF(A27="","",MAX(0,$B$7*(1-(A27-$B$5)/MAX(1,$B$6-$B$5))))</x:f>
        <x:v>216920.69230769228</x:v>
      </x:c>
      <x:c r="E27" s="152" t="n">
        <x:f>IF(A27="","",MAX(0,$B$7-C27))</x:f>
        <x:v>61</x:v>
      </x:c>
      <x:c r="N27" s="142" t="str">
        <x:f>IF(A37="","",TEXT(A37,"mm-dd"))</x:f>
        <x:v>01-11</x:v>
      </x:c>
      <x:c r="O27" s="142" t="n">
        <x:f>IF(D37="","",D37)</x:f>
        <x:v>216873.76923076925</x:v>
      </x:c>
      <x:c r="P27" s="142" t="n">
        <x:f>IF(E37="","",E37)</x:f>
        <x:v>61</x:v>
      </x:c>
    </x:row>
    <x:row r="28">
      <x:c r="A28" s="151" t="n">
        <x:f>IF(A27+1&lt;=$B$6,A27+1,"")</x:f>
        <x:v>2</x:v>
      </x:c>
      <x:c r="B28" s="152" t="n">
        <x:f>IF(A28="","",$B$7)</x:f>
        <x:v>61</x:v>
      </x:c>
      <x:c r="C28" s="152" t="n">
        <x:f>IF(A28="","",SUMIFS('Backend'!$J$6:$J$205,'Backend'!$F$6:$F$205,$B$4,'Backend'!$C$6:$C$205,"Done",'Backend'!$S$6:$S$205,"&lt;="&amp;A28)+SUMIFS('Frontend'!$J$6:$J$205,'Frontend'!$F$6:$F$205,$B$4,'Frontend'!$C$6:$C$205,"Done",'Frontend'!$S$6:$S$205,"&lt;="&amp;A28))</x:f>
        <x:v>0</x:v>
      </x:c>
      <x:c r="D28" s="152" t="n">
        <x:f>IF(A28="","",MAX(0,$B$7*(1-(A28-$B$5)/MAX(1,$B$6-$B$5))))</x:f>
        <x:v>216916</x:v>
      </x:c>
      <x:c r="E28" s="152" t="n">
        <x:f>IF(A28="","",MAX(0,$B$7-C28))</x:f>
        <x:v>61</x:v>
      </x:c>
      <x:c r="N28" s="142" t="str">
        <x:f>IF(A38="","",TEXT(A38,"mm-dd"))</x:f>
        <x:v>01-12</x:v>
      </x:c>
      <x:c r="O28" s="142" t="n">
        <x:f>IF(D38="","",D38)</x:f>
        <x:v>216869.0769230769</x:v>
      </x:c>
      <x:c r="P28" s="142" t="n">
        <x:f>IF(E38="","",E38)</x:f>
        <x:v>61</x:v>
      </x:c>
    </x:row>
    <x:row r="29">
      <x:c r="A29" s="151" t="n">
        <x:f>IF(A28+1&lt;=$B$6,A28+1,"")</x:f>
        <x:v>3</x:v>
      </x:c>
      <x:c r="B29" s="152" t="n">
        <x:f>IF(A29="","",$B$7)</x:f>
        <x:v>61</x:v>
      </x:c>
      <x:c r="C29" s="152" t="n">
        <x:f>IF(A29="","",SUMIFS('Backend'!$J$6:$J$205,'Backend'!$F$6:$F$205,$B$4,'Backend'!$C$6:$C$205,"Done",'Backend'!$S$6:$S$205,"&lt;="&amp;A29)+SUMIFS('Frontend'!$J$6:$J$205,'Frontend'!$F$6:$F$205,$B$4,'Frontend'!$C$6:$C$205,"Done",'Frontend'!$S$6:$S$205,"&lt;="&amp;A29))</x:f>
        <x:v>0</x:v>
      </x:c>
      <x:c r="D29" s="152" t="n">
        <x:f>IF(A29="","",MAX(0,$B$7*(1-(A29-$B$5)/MAX(1,$B$6-$B$5))))</x:f>
        <x:v>216911.30769230772</x:v>
      </x:c>
      <x:c r="E29" s="152" t="n">
        <x:f>IF(A29="","",MAX(0,$B$7-C29))</x:f>
        <x:v>61</x:v>
      </x:c>
      <x:c r="N29" s="142" t="str">
        <x:f>IF(A39="","",TEXT(A39,"mm-dd"))</x:f>
        <x:v>01-13</x:v>
      </x:c>
      <x:c r="O29" s="142" t="n">
        <x:f>IF(D39="","",D39)</x:f>
        <x:v>216864.38461538462</x:v>
      </x:c>
      <x:c r="P29" s="142" t="n">
        <x:f>IF(E39="","",E39)</x:f>
        <x:v>61</x:v>
      </x:c>
    </x:row>
    <x:row r="30">
      <x:c r="A30" s="151" t="n">
        <x:f>IF(A29+1&lt;=$B$6,A29+1,"")</x:f>
        <x:v>4</x:v>
      </x:c>
      <x:c r="B30" s="152" t="n">
        <x:f>IF(A30="","",$B$7)</x:f>
        <x:v>61</x:v>
      </x:c>
      <x:c r="C30" s="152" t="n">
        <x:f>IF(A30="","",SUMIFS('Backend'!$J$6:$J$205,'Backend'!$F$6:$F$205,$B$4,'Backend'!$C$6:$C$205,"Done",'Backend'!$S$6:$S$205,"&lt;="&amp;A30)+SUMIFS('Frontend'!$J$6:$J$205,'Frontend'!$F$6:$F$205,$B$4,'Frontend'!$C$6:$C$205,"Done",'Frontend'!$S$6:$S$205,"&lt;="&amp;A30))</x:f>
        <x:v>0</x:v>
      </x:c>
      <x:c r="D30" s="152" t="n">
        <x:f>IF(A30="","",MAX(0,$B$7*(1-(A30-$B$5)/MAX(1,$B$6-$B$5))))</x:f>
        <x:v>216906.61538461538</x:v>
      </x:c>
      <x:c r="E30" s="152" t="n">
        <x:f>IF(A30="","",MAX(0,$B$7-C30))</x:f>
        <x:v>61</x:v>
      </x:c>
      <x:c r="N30" s="142" t="str">
        <x:f>IF(A40="","",TEXT(A40,"mm-dd"))</x:f>
        <x:v>01-14</x:v>
      </x:c>
      <x:c r="O30" s="142" t="n">
        <x:f>IF(D40="","",D40)</x:f>
        <x:v>216859.69230769228</x:v>
      </x:c>
      <x:c r="P30" s="142" t="n">
        <x:f>IF(E40="","",E40)</x:f>
        <x:v>61</x:v>
      </x:c>
    </x:row>
    <x:row r="31">
      <x:c r="A31" s="151" t="n">
        <x:f>IF(A30+1&lt;=$B$6,A30+1,"")</x:f>
        <x:v>5</x:v>
      </x:c>
      <x:c r="B31" s="152" t="n">
        <x:f>IF(A31="","",$B$7)</x:f>
        <x:v>61</x:v>
      </x:c>
      <x:c r="C31" s="152" t="n">
        <x:f>IF(A31="","",SUMIFS('Backend'!$J$6:$J$205,'Backend'!$F$6:$F$205,$B$4,'Backend'!$C$6:$C$205,"Done",'Backend'!$S$6:$S$205,"&lt;="&amp;A31)+SUMIFS('Frontend'!$J$6:$J$205,'Frontend'!$F$6:$F$205,$B$4,'Frontend'!$C$6:$C$205,"Done",'Frontend'!$S$6:$S$205,"&lt;="&amp;A31))</x:f>
        <x:v>0</x:v>
      </x:c>
      <x:c r="D31" s="152" t="n">
        <x:f>IF(A31="","",MAX(0,$B$7*(1-(A31-$B$5)/MAX(1,$B$6-$B$5))))</x:f>
        <x:v>216901.9230769231</x:v>
      </x:c>
      <x:c r="E31" s="152" t="n">
        <x:f>IF(A31="","",MAX(0,$B$7-C31))</x:f>
        <x:v>61</x:v>
      </x:c>
      <x:c r="N31" s="142" t="str">
        <x:f>IF(A41="","",TEXT(A41,"mm-dd"))</x:f>
        <x:v>01-15</x:v>
      </x:c>
      <x:c r="O31" s="142" t="n">
        <x:f>IF(D41="","",D41)</x:f>
        <x:v>216855</x:v>
      </x:c>
      <x:c r="P31" s="142" t="n">
        <x:f>IF(E41="","",E41)</x:f>
        <x:v>61</x:v>
      </x:c>
    </x:row>
    <x:row r="32">
      <x:c r="A32" s="151" t="n">
        <x:f>IF(A31+1&lt;=$B$6,A31+1,"")</x:f>
        <x:v>6</x:v>
      </x:c>
      <x:c r="B32" s="152" t="n">
        <x:f>IF(A32="","",$B$7)</x:f>
        <x:v>61</x:v>
      </x:c>
      <x:c r="C32" s="152" t="n">
        <x:f>IF(A32="","",SUMIFS('Backend'!$J$6:$J$205,'Backend'!$F$6:$F$205,$B$4,'Backend'!$C$6:$C$205,"Done",'Backend'!$S$6:$S$205,"&lt;="&amp;A32)+SUMIFS('Frontend'!$J$6:$J$205,'Frontend'!$F$6:$F$205,$B$4,'Frontend'!$C$6:$C$205,"Done",'Frontend'!$S$6:$S$205,"&lt;="&amp;A32))</x:f>
        <x:v>0</x:v>
      </x:c>
      <x:c r="D32" s="152" t="n">
        <x:f>IF(A32="","",MAX(0,$B$7*(1-(A32-$B$5)/MAX(1,$B$6-$B$5))))</x:f>
        <x:v>216897.23076923075</x:v>
      </x:c>
      <x:c r="E32" s="152" t="n">
        <x:f>IF(A32="","",MAX(0,$B$7-C32))</x:f>
        <x:v>61</x:v>
      </x:c>
    </x:row>
    <x:row r="33">
      <x:c r="A33" s="151" t="n">
        <x:f>IF(A32+1&lt;=$B$6,A32+1,"")</x:f>
        <x:v>7</x:v>
      </x:c>
      <x:c r="B33" s="152" t="n">
        <x:f>IF(A33="","",$B$7)</x:f>
        <x:v>61</x:v>
      </x:c>
      <x:c r="C33" s="152" t="n">
        <x:f>IF(A33="","",SUMIFS('Backend'!$J$6:$J$205,'Backend'!$F$6:$F$205,$B$4,'Backend'!$C$6:$C$205,"Done",'Backend'!$S$6:$S$205,"&lt;="&amp;A33)+SUMIFS('Frontend'!$J$6:$J$205,'Frontend'!$F$6:$F$205,$B$4,'Frontend'!$C$6:$C$205,"Done",'Frontend'!$S$6:$S$205,"&lt;="&amp;A33))</x:f>
        <x:v>0</x:v>
      </x:c>
      <x:c r="D33" s="152" t="n">
        <x:f>IF(A33="","",MAX(0,$B$7*(1-(A33-$B$5)/MAX(1,$B$6-$B$5))))</x:f>
        <x:v>216892.53846153847</x:v>
      </x:c>
      <x:c r="E33" s="152" t="n">
        <x:f>IF(A33="","",MAX(0,$B$7-C33))</x:f>
        <x:v>61</x:v>
      </x:c>
    </x:row>
    <x:row r="34">
      <x:c r="A34" s="151" t="n">
        <x:f>IF(A33+1&lt;=$B$6,A33+1,"")</x:f>
        <x:v>8</x:v>
      </x:c>
      <x:c r="B34" s="152" t="n">
        <x:f>IF(A34="","",$B$7)</x:f>
        <x:v>61</x:v>
      </x:c>
      <x:c r="C34" s="152" t="n">
        <x:f>IF(A34="","",SUMIFS('Backend'!$J$6:$J$205,'Backend'!$F$6:$F$205,$B$4,'Backend'!$C$6:$C$205,"Done",'Backend'!$S$6:$S$205,"&lt;="&amp;A34)+SUMIFS('Frontend'!$J$6:$J$205,'Frontend'!$F$6:$F$205,$B$4,'Frontend'!$C$6:$C$205,"Done",'Frontend'!$S$6:$S$205,"&lt;="&amp;A34))</x:f>
        <x:v>0</x:v>
      </x:c>
      <x:c r="D34" s="152" t="n">
        <x:f>IF(A34="","",MAX(0,$B$7*(1-(A34-$B$5)/MAX(1,$B$6-$B$5))))</x:f>
        <x:v>216887.84615384616</x:v>
      </x:c>
      <x:c r="E34" s="152" t="n">
        <x:f>IF(A34="","",MAX(0,$B$7-C34))</x:f>
        <x:v>61</x:v>
      </x:c>
    </x:row>
    <x:row r="35">
      <x:c r="A35" s="151" t="n">
        <x:f>IF(A34+1&lt;=$B$6,A34+1,"")</x:f>
        <x:v>9</x:v>
      </x:c>
      <x:c r="B35" s="152" t="n">
        <x:f>IF(A35="","",$B$7)</x:f>
        <x:v>61</x:v>
      </x:c>
      <x:c r="C35" s="152" t="n">
        <x:f>IF(A35="","",SUMIFS('Backend'!$J$6:$J$205,'Backend'!$F$6:$F$205,$B$4,'Backend'!$C$6:$C$205,"Done",'Backend'!$S$6:$S$205,"&lt;="&amp;A35)+SUMIFS('Frontend'!$J$6:$J$205,'Frontend'!$F$6:$F$205,$B$4,'Frontend'!$C$6:$C$205,"Done",'Frontend'!$S$6:$S$205,"&lt;="&amp;A35))</x:f>
        <x:v>0</x:v>
      </x:c>
      <x:c r="D35" s="152" t="n">
        <x:f>IF(A35="","",MAX(0,$B$7*(1-(A35-$B$5)/MAX(1,$B$6-$B$5))))</x:f>
        <x:v>216883.15384615384</x:v>
      </x:c>
      <x:c r="E35" s="152" t="n">
        <x:f>IF(A35="","",MAX(0,$B$7-C35))</x:f>
        <x:v>61</x:v>
      </x:c>
    </x:row>
    <x:row r="36">
      <x:c r="A36" s="151" t="n">
        <x:f>IF(A35+1&lt;=$B$6,A35+1,"")</x:f>
        <x:v>10</x:v>
      </x:c>
      <x:c r="B36" s="152" t="n">
        <x:f>IF(A36="","",$B$7)</x:f>
        <x:v>61</x:v>
      </x:c>
      <x:c r="C36" s="152" t="n">
        <x:f>IF(A36="","",SUMIFS('Backend'!$J$6:$J$205,'Backend'!$F$6:$F$205,$B$4,'Backend'!$C$6:$C$205,"Done",'Backend'!$S$6:$S$205,"&lt;="&amp;A36)+SUMIFS('Frontend'!$J$6:$J$205,'Frontend'!$F$6:$F$205,$B$4,'Frontend'!$C$6:$C$205,"Done",'Frontend'!$S$6:$S$205,"&lt;="&amp;A36))</x:f>
        <x:v>0</x:v>
      </x:c>
      <x:c r="D36" s="152" t="n">
        <x:f>IF(A36="","",MAX(0,$B$7*(1-(A36-$B$5)/MAX(1,$B$6-$B$5))))</x:f>
        <x:v>216878.46153846153</x:v>
      </x:c>
      <x:c r="E36" s="152" t="n">
        <x:f>IF(A36="","",MAX(0,$B$7-C36))</x:f>
        <x:v>61</x:v>
      </x:c>
    </x:row>
    <x:row r="37">
      <x:c r="A37" s="151" t="n">
        <x:f>IF(A36+1&lt;=$B$6,A36+1,"")</x:f>
        <x:v>11</x:v>
      </x:c>
      <x:c r="B37" s="152" t="n">
        <x:f>IF(A37="","",$B$7)</x:f>
        <x:v>61</x:v>
      </x:c>
      <x:c r="C37" s="152" t="n">
        <x:f>IF(A37="","",SUMIFS('Backend'!$J$6:$J$205,'Backend'!$F$6:$F$205,$B$4,'Backend'!$C$6:$C$205,"Done",'Backend'!$S$6:$S$205,"&lt;="&amp;A37)+SUMIFS('Frontend'!$J$6:$J$205,'Frontend'!$F$6:$F$205,$B$4,'Frontend'!$C$6:$C$205,"Done",'Frontend'!$S$6:$S$205,"&lt;="&amp;A37))</x:f>
        <x:v>0</x:v>
      </x:c>
      <x:c r="D37" s="152" t="n">
        <x:f>IF(A37="","",MAX(0,$B$7*(1-(A37-$B$5)/MAX(1,$B$6-$B$5))))</x:f>
        <x:v>216873.76923076925</x:v>
      </x:c>
      <x:c r="E37" s="152" t="n">
        <x:f>IF(A37="","",MAX(0,$B$7-C37))</x:f>
        <x:v>61</x:v>
      </x:c>
    </x:row>
    <x:row r="38">
      <x:c r="A38" s="151" t="n">
        <x:f>IF(A37+1&lt;=$B$6,A37+1,"")</x:f>
        <x:v>12</x:v>
      </x:c>
      <x:c r="B38" s="152" t="n">
        <x:f>IF(A38="","",$B$7)</x:f>
        <x:v>61</x:v>
      </x:c>
      <x:c r="C38" s="152" t="n">
        <x:f>IF(A38="","",SUMIFS('Backend'!$J$6:$J$205,'Backend'!$F$6:$F$205,$B$4,'Backend'!$C$6:$C$205,"Done",'Backend'!$S$6:$S$205,"&lt;="&amp;A38)+SUMIFS('Frontend'!$J$6:$J$205,'Frontend'!$F$6:$F$205,$B$4,'Frontend'!$C$6:$C$205,"Done",'Frontend'!$S$6:$S$205,"&lt;="&amp;A38))</x:f>
        <x:v>0</x:v>
      </x:c>
      <x:c r="D38" s="152" t="n">
        <x:f>IF(A38="","",MAX(0,$B$7*(1-(A38-$B$5)/MAX(1,$B$6-$B$5))))</x:f>
        <x:v>216869.0769230769</x:v>
      </x:c>
      <x:c r="E38" s="152" t="n">
        <x:f>IF(A38="","",MAX(0,$B$7-C38))</x:f>
        <x:v>61</x:v>
      </x:c>
    </x:row>
    <x:row r="39">
      <x:c r="A39" s="151" t="n">
        <x:f>IF(A38+1&lt;=$B$6,A38+1,"")</x:f>
        <x:v>13</x:v>
      </x:c>
      <x:c r="B39" s="152" t="n">
        <x:f>IF(A39="","",$B$7)</x:f>
        <x:v>61</x:v>
      </x:c>
      <x:c r="C39" s="152" t="n">
        <x:f>IF(A39="","",SUMIFS('Backend'!$J$6:$J$205,'Backend'!$F$6:$F$205,$B$4,'Backend'!$C$6:$C$205,"Done",'Backend'!$S$6:$S$205,"&lt;="&amp;A39)+SUMIFS('Frontend'!$J$6:$J$205,'Frontend'!$F$6:$F$205,$B$4,'Frontend'!$C$6:$C$205,"Done",'Frontend'!$S$6:$S$205,"&lt;="&amp;A39))</x:f>
        <x:v>0</x:v>
      </x:c>
      <x:c r="D39" s="152" t="n">
        <x:f>IF(A39="","",MAX(0,$B$7*(1-(A39-$B$5)/MAX(1,$B$6-$B$5))))</x:f>
        <x:v>216864.38461538462</x:v>
      </x:c>
      <x:c r="E39" s="152" t="n">
        <x:f>IF(A39="","",MAX(0,$B$7-C39))</x:f>
        <x:v>61</x:v>
      </x:c>
    </x:row>
    <x:row r="40">
      <x:c r="A40" s="151" t="n">
        <x:f>IF(A39+1&lt;=$B$6,A39+1,"")</x:f>
        <x:v>14</x:v>
      </x:c>
      <x:c r="B40" s="152" t="n">
        <x:f>IF(A40="","",$B$7)</x:f>
        <x:v>61</x:v>
      </x:c>
      <x:c r="C40" s="152" t="n">
        <x:f>IF(A40="","",SUMIFS('Backend'!$J$6:$J$205,'Backend'!$F$6:$F$205,$B$4,'Backend'!$C$6:$C$205,"Done",'Backend'!$S$6:$S$205,"&lt;="&amp;A40)+SUMIFS('Frontend'!$J$6:$J$205,'Frontend'!$F$6:$F$205,$B$4,'Frontend'!$C$6:$C$205,"Done",'Frontend'!$S$6:$S$205,"&lt;="&amp;A40))</x:f>
        <x:v>0</x:v>
      </x:c>
      <x:c r="D40" s="152" t="n">
        <x:f>IF(A40="","",MAX(0,$B$7*(1-(A40-$B$5)/MAX(1,$B$6-$B$5))))</x:f>
        <x:v>216859.69230769228</x:v>
      </x:c>
      <x:c r="E40" s="152" t="n">
        <x:f>IF(A40="","",MAX(0,$B$7-C40))</x:f>
        <x:v>61</x:v>
      </x:c>
    </x:row>
    <x:row r="41">
      <x:c r="A41" s="153" t="n">
        <x:f>IF(A40+1&lt;=$B$6,A40+1,"")</x:f>
        <x:v>15</x:v>
      </x:c>
      <x:c r="B41" s="154" t="n">
        <x:f>IF(A41="","",$B$7)</x:f>
        <x:v>61</x:v>
      </x:c>
      <x:c r="C41" s="154" t="n">
        <x:f>IF(A41="","",SUMIFS('Backend'!$J$6:$J$205,'Backend'!$F$6:$F$205,$B$4,'Backend'!$C$6:$C$205,"Done",'Backend'!$S$6:$S$205,"&lt;="&amp;A41)+SUMIFS('Frontend'!$J$6:$J$205,'Frontend'!$F$6:$F$205,$B$4,'Frontend'!$C$6:$C$205,"Done",'Frontend'!$S$6:$S$205,"&lt;="&amp;A41))</x:f>
        <x:v>0</x:v>
      </x:c>
      <x:c r="D41" s="154" t="n">
        <x:f>IF(A41="","",MAX(0,$B$7*(1-(A41-$B$5)/MAX(1,$B$6-$B$5))))</x:f>
        <x:v>216855</x:v>
      </x:c>
      <x:c r="E41" s="154" t="n">
        <x:f>IF(A41="","",MAX(0,$B$7-C41))</x:f>
        <x:v>61</x:v>
      </x:c>
    </x:row>
  </x:sheetData>
  <x:mergeCells>
    <x:mergeCell ref="A1:L1"/>
    <x:mergeCell ref="A2:L2"/>
  </x:mergeCells>
  <x:conditionalFormatting sqref="E7:E7">
    <x:cfRule type="containsText" dxfId="20" priority="1" operator="containsText" text="Đỏ"/>
    <x:cfRule type="containsText" dxfId="21" priority="2" operator="containsText" text="Vàng"/>
    <x:cfRule type="containsText" dxfId="22" priority="3" operator="containsText" text="Xanh"/>
  </x:conditionalFormatting>
  <x:pageMargins left="0.7" right="0.7" top="0.75" bottom="0.75" header="0.3" footer="0.3"/>
  <x:drawing xmlns:r="http://schemas.openxmlformats.org/officeDocument/2006/relationships" r:id="Rcb18f29ebcdb4ec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3" t="str">
        <x:v>BÁO CÁO QUẢN TRỊ</x:v>
      </x:c>
      <x:c r="B1" s="3" t="str">
        <x:v>BÁO CÁO QUẢN TRỊ</x:v>
      </x:c>
      <x:c r="C1" s="3" t="str">
        <x:v>BÁO CÁO QUẢN TRỊ</x:v>
      </x:c>
      <x:c r="D1" s="3" t="str">
        <x:v>BÁO CÁO QUẢN TRỊ</x:v>
      </x:c>
      <x:c r="E1" s="3" t="str">
        <x:v>BÁO CÁO QUẢN TRỊ</x:v>
      </x:c>
      <x:c r="F1" s="3" t="str">
        <x:v>BÁO CÁO QUẢN TRỊ</x:v>
      </x:c>
      <x:c r="G1" s="3" t="str">
        <x:v>BÁO CÁO QUẢN TRỊ</x:v>
      </x:c>
      <x:c r="H1" s="3" t="str">
        <x:v>BÁO CÁO QUẢN TRỊ</x:v>
      </x:c>
      <x:c r="I1" s="3" t="str">
        <x:v>BÁO CÁO QUẢN TRỊ</x:v>
      </x:c>
      <x:c r="J1" s="3" t="str">
        <x:v>BÁO CÁO QUẢN TRỊ</x:v>
      </x:c>
      <x:c r="K1" s="3" t="str">
        <x:v>BÁO CÁO QUẢN TRỊ</x:v>
      </x:c>
      <x:c r="L1" s="3" t="str">
        <x:v>BÁO CÁO QUẢN TRỊ</x:v>
      </x:c>
      <x:c r="M1" s="3" t="str">
        <x:v>BÁO CÁO QUẢN TRỊ</x:v>
      </x:c>
      <x:c r="N1" s="3" t="str">
        <x:v>BÁO CÁO QUẢN TRỊ</x:v>
      </x:c>
    </x:row>
    <x:row r="2" ht="28" customHeight="1">
      <x:c r="A2" s="7" t="str">
        <x:v>Báo cáo tự động theo sprint đang chọn: tiến độ, khối lượng, chất lượng dữ liệu, rủi ro và tải theo người.</x:v>
      </x:c>
      <x:c r="B2" s="7" t="str">
        <x:v>Báo cáo tự động theo sprint đang chọn: tiến độ, khối lượng, chất lượng dữ liệu, rủi ro và tải theo người.</x:v>
      </x:c>
      <x:c r="C2" s="7" t="str">
        <x:v>Báo cáo tự động theo sprint đang chọn: tiến độ, khối lượng, chất lượng dữ liệu, rủi ro và tải theo người.</x:v>
      </x:c>
      <x:c r="D2" s="7" t="str">
        <x:v>Báo cáo tự động theo sprint đang chọn: tiến độ, khối lượng, chất lượng dữ liệu, rủi ro và tải theo người.</x:v>
      </x:c>
      <x:c r="E2" s="7" t="str">
        <x:v>Báo cáo tự động theo sprint đang chọn: tiến độ, khối lượng, chất lượng dữ liệu, rủi ro và tải theo người.</x:v>
      </x:c>
      <x:c r="F2" s="7" t="str">
        <x:v>Báo cáo tự động theo sprint đang chọn: tiến độ, khối lượng, chất lượng dữ liệu, rủi ro và tải theo người.</x:v>
      </x:c>
      <x:c r="G2" s="7" t="str">
        <x:v>Báo cáo tự động theo sprint đang chọn: tiến độ, khối lượng, chất lượng dữ liệu, rủi ro và tải theo người.</x:v>
      </x:c>
      <x:c r="H2" s="7" t="str">
        <x:v>Báo cáo tự động theo sprint đang chọn: tiến độ, khối lượng, chất lượng dữ liệu, rủi ro và tải theo người.</x:v>
      </x:c>
      <x:c r="I2" s="7" t="str">
        <x:v>Báo cáo tự động theo sprint đang chọn: tiến độ, khối lượng, chất lượng dữ liệu, rủi ro và tải theo người.</x:v>
      </x:c>
      <x:c r="J2" s="7" t="str">
        <x:v>Báo cáo tự động theo sprint đang chọn: tiến độ, khối lượng, chất lượng dữ liệu, rủi ro và tải theo người.</x:v>
      </x:c>
      <x:c r="K2" s="7" t="str">
        <x:v>Báo cáo tự động theo sprint đang chọn: tiến độ, khối lượng, chất lượng dữ liệu, rủi ro và tải theo người.</x:v>
      </x:c>
      <x:c r="L2" s="7" t="str">
        <x:v>Báo cáo tự động theo sprint đang chọn: tiến độ, khối lượng, chất lượng dữ liệu, rủi ro và tải theo người.</x:v>
      </x:c>
      <x:c r="M2" s="7" t="str">
        <x:v>Báo cáo tự động theo sprint đang chọn: tiến độ, khối lượng, chất lượng dữ liệu, rủi ro và tải theo người.</x:v>
      </x:c>
      <x:c r="N2" s="7" t="str">
        <x:v>Báo cáo tự động theo sprint đang chọn: tiến độ, khối lượng, chất lượng dữ liệu, rủi ro và tải theo người.</x:v>
      </x:c>
    </x:row>
    <x:row r="4">
      <x:c r="A4" t="str">
        <x:v>Sprint</x:v>
      </x:c>
      <x:c r="B4"/>
      <x:c r="C4" t="str">
        <x:f>'Cấu hình'!B5</x:f>
        <x:v>Sprint 24</x:v>
      </x:c>
    </x:row>
    <x:row r="6" ht="34" customHeight="1">
      <x:c r="A6" s="30" t="str">
        <x:v>Đội</x:v>
      </x:c>
      <x:c r="B6" s="31" t="str">
        <x:v>Tổng task</x:v>
      </x:c>
      <x:c r="C6" s="31" t="str">
        <x:v>Done</x:v>
      </x:c>
      <x:c r="D6" s="31" t="str">
        <x:v>Đang làm</x:v>
      </x:c>
      <x:c r="E6" s="31" t="str">
        <x:v>Blocked</x:v>
      </x:c>
      <x:c r="F6" s="31" t="str">
        <x:v>Quá hạn</x:v>
      </x:c>
      <x:c r="G6" s="31" t="str">
        <x:v>Hoàn thành %</x:v>
      </x:c>
      <x:c r="H6" s="31" t="str">
        <x:v>Scope SP</x:v>
      </x:c>
      <x:c r="I6" s="31" t="str">
        <x:v>Done SP</x:v>
      </x:c>
      <x:c r="J6" s="31" t="str">
        <x:v>Actual giờ</x:v>
      </x:c>
      <x:c r="K6" s="32" t="str">
        <x:v>Cycle time TB</x:v>
      </x:c>
    </x:row>
    <x:row r="7">
      <x:c r="A7" s="138" t="str">
        <x:v>Backend</x:v>
      </x:c>
      <x:c r="B7" s="138" t="n">
        <x:f>COUNTIFS('Backend'!$F$6:$F$205,$C$4,'Backend'!$A$6:$A$205,"&lt;&gt;")</x:f>
        <x:v>6</x:v>
      </x:c>
      <x:c r="C7" s="138" t="n">
        <x:f>COUNTIFS('Backend'!$F$6:$F$205,$C$4,'Backend'!$C$6:$C$205,"Done")</x:f>
        <x:v>1</x:v>
      </x:c>
      <x:c r="D7" s="138" t="n">
        <x:f>COUNTIFS('Backend'!$F$6:$F$205,$C$4,'Backend'!$C$6:$C$205,"In Progress")+COUNTIFS('Backend'!$F$6:$F$205,$C$4,'Backend'!$C$6:$C$205,"Code Review")+COUNTIFS('Backend'!$F$6:$F$205,$C$4,'Backend'!$C$6:$C$205,"QA")</x:f>
        <x:v>3</x:v>
      </x:c>
      <x:c r="E7" s="138" t="n">
        <x:f>COUNTIFS('Backend'!$F$6:$F$205,$C$4,'Backend'!$C$6:$C$205,"Blocked")</x:f>
        <x:v>1</x:v>
      </x:c>
      <x:c r="F7" s="138" t="n">
        <x:f>COUNTIFS('Backend'!$F$6:$F$205,$C$4,'Backend'!$V$6:$V$205,"&gt;0",'Backend'!$C$6:$C$205,"&lt;&gt;Done",'Backend'!$C$6:$C$205,"&lt;&gt;Cancelled")</x:f>
        <x:v>0</x:v>
      </x:c>
      <x:c r="G7" s="155" t="n">
        <x:f>IFERROR(C7/B7,0)</x:f>
        <x:v>0.16666666666666666</x:v>
      </x:c>
      <x:c r="H7" s="150" t="n">
        <x:f>SUMIFS('Backend'!$J$6:$J$205,'Backend'!$F$6:$F$205,$C$4)</x:f>
        <x:v>34</x:v>
      </x:c>
      <x:c r="I7" s="150" t="n">
        <x:f>SUMIFS('Backend'!$J$6:$J$205,'Backend'!$F$6:$F$205,$C$4,'Backend'!$C$6:$C$205,"Done")</x:f>
        <x:v>5</x:v>
      </x:c>
      <x:c r="J7" s="150" t="n">
        <x:f>SUMIFS('Backend'!$T$6:$T$205,'Backend'!$F$6:$F$205,$C$4)</x:f>
        <x:v>30</x:v>
      </x:c>
      <x:c r="K7" s="150" t="n">
        <x:f>IFERROR(SUMIFS('Backend'!$AC$6:$AC$205,'Backend'!$F$6:$F$205,$C$4,'Backend'!$C$6:$C$205,"Done")/C7,0)</x:f>
        <x:v>8</x:v>
      </x:c>
    </x:row>
    <x:row r="8">
      <x:c r="A8" s="139" t="str">
        <x:v>Frontend</x:v>
      </x:c>
      <x:c r="B8" s="139" t="n">
        <x:f>COUNTIFS('Frontend'!$F$6:$F$205,$C$4,'Frontend'!$A$6:$A$205,"&lt;&gt;")</x:f>
        <x:v>6</x:v>
      </x:c>
      <x:c r="C8" s="139" t="n">
        <x:f>COUNTIFS('Frontend'!$F$6:$F$205,$C$4,'Frontend'!$C$6:$C$205,"Done")</x:f>
        <x:v>1</x:v>
      </x:c>
      <x:c r="D8" s="139" t="n">
        <x:f>COUNTIFS('Frontend'!$F$6:$F$205,$C$4,'Frontend'!$C$6:$C$205,"In Progress")+COUNTIFS('Frontend'!$F$6:$F$205,$C$4,'Frontend'!$C$6:$C$205,"Code Review")+COUNTIFS('Frontend'!$F$6:$F$205,$C$4,'Frontend'!$C$6:$C$205,"QA")</x:f>
        <x:v>3</x:v>
      </x:c>
      <x:c r="E8" s="139" t="n">
        <x:f>COUNTIFS('Frontend'!$F$6:$F$205,$C$4,'Frontend'!$C$6:$C$205,"Blocked")</x:f>
        <x:v>1</x:v>
      </x:c>
      <x:c r="F8" s="139" t="n">
        <x:f>COUNTIFS('Frontend'!$F$6:$F$205,$C$4,'Frontend'!$V$6:$V$205,"&gt;0",'Frontend'!$C$6:$C$205,"&lt;&gt;Done",'Frontend'!$C$6:$C$205,"&lt;&gt;Cancelled")</x:f>
        <x:v>0</x:v>
      </x:c>
      <x:c r="G8" s="156" t="n">
        <x:f>IFERROR(C8/B8,0)</x:f>
        <x:v>0.16666666666666666</x:v>
      </x:c>
      <x:c r="H8" s="152" t="n">
        <x:f>SUMIFS('Frontend'!$J$6:$J$205,'Frontend'!$F$6:$F$205,$C$4)</x:f>
        <x:v>27</x:v>
      </x:c>
      <x:c r="I8" s="152" t="n">
        <x:f>SUMIFS('Frontend'!$J$6:$J$205,'Frontend'!$F$6:$F$205,$C$4,'Frontend'!$C$6:$C$205,"Done")</x:f>
        <x:v>3</x:v>
      </x:c>
      <x:c r="J8" s="152" t="n">
        <x:f>SUMIFS('Frontend'!$T$6:$T$205,'Frontend'!$F$6:$F$205,$C$4)</x:f>
        <x:v>31</x:v>
      </x:c>
      <x:c r="K8" s="152" t="n">
        <x:f>IFERROR(SUMIFS('Frontend'!$AC$6:$AC$205,'Frontend'!$F$6:$F$205,$C$4,'Frontend'!$C$6:$C$205,"Done")/C8,0)</x:f>
        <x:v>7</x:v>
      </x:c>
    </x:row>
    <x:row r="9">
      <x:c r="A9" s="161" t="str">
        <x:v>Tổng</x:v>
      </x:c>
      <x:c r="B9" s="161" t="n">
        <x:f>SUM(B7:B8)</x:f>
        <x:v>12</x:v>
      </x:c>
      <x:c r="C9" s="161" t="n">
        <x:f>SUM(C7:C8)</x:f>
        <x:v>2</x:v>
      </x:c>
      <x:c r="D9" s="161" t="n">
        <x:f>SUM(D7:D8)</x:f>
        <x:v>6</x:v>
      </x:c>
      <x:c r="E9" s="161" t="n">
        <x:f>SUM(E7:E8)</x:f>
        <x:v>2</x:v>
      </x:c>
      <x:c r="F9" s="161" t="n">
        <x:f>SUM(F7:F8)</x:f>
        <x:v>0</x:v>
      </x:c>
      <x:c r="G9" s="162" t="n">
        <x:f>IFERROR(C9/B9,0)</x:f>
        <x:v>0.16666666666666666</x:v>
      </x:c>
      <x:c r="H9" s="163" t="n">
        <x:f>SUM(H7:H8)</x:f>
        <x:v>61</x:v>
      </x:c>
      <x:c r="I9" s="163" t="n">
        <x:f>SUM(I7:I8)</x:f>
        <x:v>8</x:v>
      </x:c>
      <x:c r="J9" s="163" t="n">
        <x:f>SUM(J7:J8)</x:f>
        <x:v>61</x:v>
      </x:c>
      <x:c r="K9" s="163" t="n">
        <x:f>IFERROR((K7*C7+K8*C8)/(C7+C8),0)</x:f>
        <x:v>7.5</x:v>
      </x:c>
    </x:row>
    <x:row r="12" ht="22" customHeight="1">
      <x:c r="A12" s="10" t="str">
        <x:v>KIỂM SOÁT CHẤT LƯỢNG DỮ LIỆU</x:v>
      </x:c>
      <x:c r="B12" s="10" t="str">
        <x:v>KIỂM SOÁT CHẤT LƯỢNG DỮ LIỆU</x:v>
      </x:c>
      <x:c r="C12" s="10" t="str">
        <x:v>KIỂM SOÁT CHẤT LƯỢNG DỮ LIỆU</x:v>
      </x:c>
      <x:c r="D12" s="10" t="str">
        <x:v>KIỂM SOÁT CHẤT LƯỢNG DỮ LIỆU</x:v>
      </x:c>
      <x:c r="E12" s="10" t="str">
        <x:v>KIỂM SOÁT CHẤT LƯỢNG DỮ LIỆU</x:v>
      </x:c>
      <x:c r="G12" s="10" t="str">
        <x:v>TẢI CÔNG VIỆC THEO NGƯỜI</x:v>
      </x:c>
      <x:c r="H12" s="10" t="str">
        <x:v>TẢI CÔNG VIỆC THEO NGƯỜI</x:v>
      </x:c>
      <x:c r="I12" s="10" t="str">
        <x:v>TẢI CÔNG VIỆC THEO NGƯỜI</x:v>
      </x:c>
      <x:c r="J12" s="10" t="str">
        <x:v>TẢI CÔNG VIỆC THEO NGƯỜI</x:v>
      </x:c>
      <x:c r="K12" s="10" t="str">
        <x:v>TẢI CÔNG VIỆC THEO NGƯỜI</x:v>
      </x:c>
      <x:c r="L12" s="10" t="str">
        <x:v>TẢI CÔNG VIỆC THEO NGƯỜI</x:v>
      </x:c>
      <x:c r="M12" s="10" t="str">
        <x:v>TẢI CÔNG VIỆC THEO NGƯỜI</x:v>
      </x:c>
      <x:c r="N12" s="10" t="str">
        <x:v>TẢI CÔNG VIỆC THEO NGƯỜI</x:v>
      </x:c>
    </x:row>
    <x:row r="13" ht="34" customHeight="1">
      <x:c r="A13" s="138" t="str">
        <x:v>P0/P1 chưa đóng</x:v>
      </x:c>
      <x:c r="B13" s="138" t="n">
        <x:f>COUNTIFS('Backend'!$F$6:$F$205,$C$4,'Backend'!$D$6:$D$205,"P0 - Critical",'Backend'!$C$6:$C$205,"&lt;&gt;Done",'Backend'!$C$6:$C$205,"&lt;&gt;Cancelled")+COUNTIFS('Backend'!$F$6:$F$205,$C$4,'Backend'!$D$6:$D$205,"P1 - High",'Backend'!$C$6:$C$205,"&lt;&gt;Done",'Backend'!$C$6:$C$205,"&lt;&gt;Cancelled")+COUNTIFS('Frontend'!$F$6:$F$205,$C$4,'Frontend'!$D$6:$D$205,"P0 - Critical",'Frontend'!$C$6:$C$205,"&lt;&gt;Done",'Frontend'!$C$6:$C$205,"&lt;&gt;Cancelled")+COUNTIFS('Frontend'!$F$6:$F$205,$C$4,'Frontend'!$D$6:$D$205,"P1 - High",'Frontend'!$C$6:$C$205,"&lt;&gt;Done",'Frontend'!$C$6:$C$205,"&lt;&gt;Cancelled")</x:f>
        <x:v>5</x:v>
      </x:c>
      <x:c r="G13" s="30" t="str">
        <x:v>Người</x:v>
      </x:c>
      <x:c r="H13" s="31" t="str">
        <x:v>Task mở</x:v>
      </x:c>
      <x:c r="I13" s="31" t="str">
        <x:v>SP mở</x:v>
      </x:c>
      <x:c r="J13" s="31" t="str">
        <x:v>Blocked</x:v>
      </x:c>
      <x:c r="K13" s="31" t="str">
        <x:v>Quá hạn</x:v>
      </x:c>
      <x:c r="L13" s="32" t="str">
        <x:v>Done</x:v>
      </x:c>
    </x:row>
    <x:row r="14">
      <x:c r="A14" s="139" t="str">
        <x:v>Task thiếu Owner</x:v>
      </x:c>
      <x:c r="B14" s="139" t="n">
        <x:f>COUNTIFS('Backend'!$F$6:$F$205,$C$4,'Backend'!$A$6:$A$205,"&lt;&gt;",'Backend'!$E$6:$E$205,"")+COUNTIFS('Frontend'!$F$6:$F$205,$C$4,'Frontend'!$A$6:$A$205,"&lt;&gt;",'Frontend'!$E$6:$E$205,"")</x:f>
        <x:v>0</x:v>
      </x:c>
      <x:c r="G14" s="138" t="str">
        <x:f>IF('Cấu hình'!M12="","",'Cấu hình'!M12)</x:f>
        <x:v>Nguyễn An</x:v>
      </x:c>
      <x:c r="H14" s="138" t="n">
        <x:f>IF(G14="","",COUNTIFS('Backend'!$F$6:$F$205,$C$4,'Backend'!$E$6:$E$205,G14,'Backend'!$C$6:$C$205,"&lt;&gt;Done",'Backend'!$C$6:$C$205,"&lt;&gt;Cancelled")+COUNTIFS('Frontend'!$F$6:$F$205,$C$4,'Frontend'!$E$6:$E$205,G14,'Frontend'!$C$6:$C$205,"&lt;&gt;Done",'Frontend'!$C$6:$C$205,"&lt;&gt;Cancelled"))</x:f>
        <x:v>2</x:v>
      </x:c>
      <x:c r="I14" s="150" t="n">
        <x:f>IF(G14="","",SUMIFS('Backend'!$J$6:$J$205,'Backend'!$F$6:$F$205,$C$4,'Backend'!$E$6:$E$205,G14,'Backend'!$C$6:$C$205,"&lt;&gt;Done",'Backend'!$C$6:$C$205,"&lt;&gt;Cancelled")+SUMIFS('Frontend'!$J$6:$J$205,'Frontend'!$F$6:$F$205,$C$4,'Frontend'!$E$6:$E$205,G14,'Frontend'!$C$6:$C$205,"&lt;&gt;Done",'Frontend'!$C$6:$C$205,"&lt;&gt;Cancelled"))</x:f>
        <x:v>11</x:v>
      </x:c>
      <x:c r="J14" s="138" t="n">
        <x:f>IF(G14="","",COUNTIFS('Backend'!$F$6:$F$205,$C$4,'Backend'!$E$6:$E$205,G14,'Backend'!$C$6:$C$205,"Blocked")+COUNTIFS('Frontend'!$F$6:$F$205,$C$4,'Frontend'!$E$6:$E$205,G14,'Frontend'!$C$6:$C$205,"Blocked"))</x:f>
        <x:v>0</x:v>
      </x:c>
      <x:c r="K14" s="138" t="n">
        <x:f>IF(G14="","",COUNTIFS('Backend'!$F$6:$F$205,$C$4,'Backend'!$E$6:$E$205,G14,'Backend'!$V$6:$V$205,"&gt;0",'Backend'!$C$6:$C$205,"&lt;&gt;Done")+COUNTIFS('Frontend'!$F$6:$F$205,$C$4,'Frontend'!$E$6:$E$205,G14,'Frontend'!$V$6:$V$205,"&gt;0",'Frontend'!$C$6:$C$205,"&lt;&gt;Done"))</x:f>
        <x:v>0</x:v>
      </x:c>
      <x:c r="L14" s="138" t="n">
        <x:f>IF(G14="","",COUNTIFS('Backend'!$F$6:$F$205,$C$4,'Backend'!$E$6:$E$205,G14,'Backend'!$C$6:$C$205,"Done")+COUNTIFS('Frontend'!$F$6:$F$205,$C$4,'Frontend'!$E$6:$E$205,G14,'Frontend'!$C$6:$C$205,"Done"))</x:f>
        <x:v>0</x:v>
      </x:c>
    </x:row>
    <x:row r="15">
      <x:c r="A15" s="139" t="str">
        <x:v>Task thiếu Estimate</x:v>
      </x:c>
      <x:c r="B15" s="139" t="n">
        <x:f>COUNTIFS('Backend'!$F$6:$F$205,$C$4,'Backend'!$A$6:$A$205,"&lt;&gt;",'Backend'!$J$6:$J$205,"")+COUNTIFS('Frontend'!$F$6:$F$205,$C$4,'Frontend'!$A$6:$A$205,"&lt;&gt;",'Frontend'!$J$6:$J$205,"")</x:f>
        <x:v>0</x:v>
      </x:c>
      <x:c r="G15" s="139" t="str">
        <x:f>IF('Cấu hình'!M13="","",'Cấu hình'!M13)</x:f>
        <x:v>Trần Bình</x:v>
      </x:c>
      <x:c r="H15" s="139" t="n">
        <x:f>IF(G15="","",COUNTIFS('Backend'!$F$6:$F$205,$C$4,'Backend'!$E$6:$E$205,G15,'Backend'!$C$6:$C$205,"&lt;&gt;Done",'Backend'!$C$6:$C$205,"&lt;&gt;Cancelled")+COUNTIFS('Frontend'!$F$6:$F$205,$C$4,'Frontend'!$E$6:$E$205,G15,'Frontend'!$C$6:$C$205,"&lt;&gt;Done",'Frontend'!$C$6:$C$205,"&lt;&gt;Cancelled"))</x:f>
        <x:v>1</x:v>
      </x:c>
      <x:c r="I15" s="152" t="n">
        <x:f>IF(G15="","",SUMIFS('Backend'!$J$6:$J$205,'Backend'!$F$6:$F$205,$C$4,'Backend'!$E$6:$E$205,G15,'Backend'!$C$6:$C$205,"&lt;&gt;Done",'Backend'!$C$6:$C$205,"&lt;&gt;Cancelled")+SUMIFS('Frontend'!$J$6:$J$205,'Frontend'!$F$6:$F$205,$C$4,'Frontend'!$E$6:$E$205,G15,'Frontend'!$C$6:$C$205,"&lt;&gt;Done",'Frontend'!$C$6:$C$205,"&lt;&gt;Cancelled"))</x:f>
        <x:v>5</x:v>
      </x:c>
      <x:c r="J15" s="139" t="n">
        <x:f>IF(G15="","",COUNTIFS('Backend'!$F$6:$F$205,$C$4,'Backend'!$E$6:$E$205,G15,'Backend'!$C$6:$C$205,"Blocked")+COUNTIFS('Frontend'!$F$6:$F$205,$C$4,'Frontend'!$E$6:$E$205,G15,'Frontend'!$C$6:$C$205,"Blocked"))</x:f>
        <x:v>0</x:v>
      </x:c>
      <x:c r="K15" s="139" t="n">
        <x:f>IF(G15="","",COUNTIFS('Backend'!$F$6:$F$205,$C$4,'Backend'!$E$6:$E$205,G15,'Backend'!$V$6:$V$205,"&gt;0",'Backend'!$C$6:$C$205,"&lt;&gt;Done")+COUNTIFS('Frontend'!$F$6:$F$205,$C$4,'Frontend'!$E$6:$E$205,G15,'Frontend'!$V$6:$V$205,"&gt;0",'Frontend'!$C$6:$C$205,"&lt;&gt;Done"))</x:f>
        <x:v>0</x:v>
      </x:c>
      <x:c r="L15" s="139" t="n">
        <x:f>IF(G15="","",COUNTIFS('Backend'!$F$6:$F$205,$C$4,'Backend'!$E$6:$E$205,G15,'Backend'!$C$6:$C$205,"Done")+COUNTIFS('Frontend'!$F$6:$F$205,$C$4,'Frontend'!$E$6:$E$205,G15,'Frontend'!$C$6:$C$205,"Done"))</x:f>
        <x:v>1</x:v>
      </x:c>
    </x:row>
    <x:row r="16">
      <x:c r="A16" s="139" t="str">
        <x:v>Task thiếu hạn cam kết</x:v>
      </x:c>
      <x:c r="B16" s="139" t="n">
        <x:f>COUNTIFS('Backend'!$F$6:$F$205,$C$4,'Backend'!$A$6:$A$205,"&lt;&gt;",'Backend'!$I$6:$I$205,"")+COUNTIFS('Frontend'!$F$6:$F$205,$C$4,'Frontend'!$A$6:$A$205,"&lt;&gt;",'Frontend'!$I$6:$I$205,"")</x:f>
        <x:v>0</x:v>
      </x:c>
      <x:c r="G16" s="139" t="str">
        <x:f>IF('Cấu hình'!M14="","",'Cấu hình'!M14)</x:f>
        <x:v>Lê Chi</x:v>
      </x:c>
      <x:c r="H16" s="139" t="n">
        <x:f>IF(G16="","",COUNTIFS('Backend'!$F$6:$F$205,$C$4,'Backend'!$E$6:$E$205,G16,'Backend'!$C$6:$C$205,"&lt;&gt;Done",'Backend'!$C$6:$C$205,"&lt;&gt;Cancelled")+COUNTIFS('Frontend'!$F$6:$F$205,$C$4,'Frontend'!$E$6:$E$205,G16,'Frontend'!$C$6:$C$205,"&lt;&gt;Done",'Frontend'!$C$6:$C$205,"&lt;&gt;Cancelled"))</x:f>
        <x:v>1</x:v>
      </x:c>
      <x:c r="I16" s="152" t="n">
        <x:f>IF(G16="","",SUMIFS('Backend'!$J$6:$J$205,'Backend'!$F$6:$F$205,$C$4,'Backend'!$E$6:$E$205,G16,'Backend'!$C$6:$C$205,"&lt;&gt;Done",'Backend'!$C$6:$C$205,"&lt;&gt;Cancelled")+SUMIFS('Frontend'!$J$6:$J$205,'Frontend'!$F$6:$F$205,$C$4,'Frontend'!$E$6:$E$205,G16,'Frontend'!$C$6:$C$205,"&lt;&gt;Done",'Frontend'!$C$6:$C$205,"&lt;&gt;Cancelled"))</x:f>
        <x:v>5</x:v>
      </x:c>
      <x:c r="J16" s="139" t="n">
        <x:f>IF(G16="","",COUNTIFS('Backend'!$F$6:$F$205,$C$4,'Backend'!$E$6:$E$205,G16,'Backend'!$C$6:$C$205,"Blocked")+COUNTIFS('Frontend'!$F$6:$F$205,$C$4,'Frontend'!$E$6:$E$205,G16,'Frontend'!$C$6:$C$205,"Blocked"))</x:f>
        <x:v>0</x:v>
      </x:c>
      <x:c r="K16" s="139" t="n">
        <x:f>IF(G16="","",COUNTIFS('Backend'!$F$6:$F$205,$C$4,'Backend'!$E$6:$E$205,G16,'Backend'!$V$6:$V$205,"&gt;0",'Backend'!$C$6:$C$205,"&lt;&gt;Done")+COUNTIFS('Frontend'!$F$6:$F$205,$C$4,'Frontend'!$E$6:$E$205,G16,'Frontend'!$V$6:$V$205,"&gt;0",'Frontend'!$C$6:$C$205,"&lt;&gt;Done"))</x:f>
        <x:v>0</x:v>
      </x:c>
      <x:c r="L16" s="139" t="n">
        <x:f>IF(G16="","",COUNTIFS('Backend'!$F$6:$F$205,$C$4,'Backend'!$E$6:$E$205,G16,'Backend'!$C$6:$C$205,"Done")+COUNTIFS('Frontend'!$F$6:$F$205,$C$4,'Frontend'!$E$6:$E$205,G16,'Frontend'!$C$6:$C$205,"Done"))</x:f>
        <x:v>0</x:v>
      </x:c>
    </x:row>
    <x:row r="17">
      <x:c r="A17" s="139" t="str">
        <x:v>Task stale</x:v>
      </x:c>
      <x:c r="B17" s="139" t="n">
        <x:f>COUNTIFS('Backend'!$F$6:$F$205,$C$4,'Backend'!$A$6:$A$205,"&lt;&gt;",'Backend'!$O$6:$O$205,"&lt;"&amp;TODAY()-'Cấu hình'!$B$10,'Backend'!$C$6:$C$205,"&lt;&gt;Done",'Backend'!$C$6:$C$205,"&lt;&gt;Cancelled")+COUNTIFS('Frontend'!$F$6:$F$205,$C$4,'Frontend'!$A$6:$A$205,"&lt;&gt;",'Frontend'!$O$6:$O$205,"&lt;"&amp;TODAY()-'Cấu hình'!$B$10,'Frontend'!$C$6:$C$205,"&lt;&gt;Done",'Frontend'!$C$6:$C$205,"&lt;&gt;Cancelled")</x:f>
        <x:v>0</x:v>
      </x:c>
      <x:c r="G17" s="139" t="str">
        <x:f>IF('Cấu hình'!M15="","",'Cấu hình'!M15)</x:f>
        <x:v>Phạm Dũng</x:v>
      </x:c>
      <x:c r="H17" s="139" t="n">
        <x:f>IF(G17="","",COUNTIFS('Backend'!$F$6:$F$205,$C$4,'Backend'!$E$6:$E$205,G17,'Backend'!$C$6:$C$205,"&lt;&gt;Done",'Backend'!$C$6:$C$205,"&lt;&gt;Cancelled")+COUNTIFS('Frontend'!$F$6:$F$205,$C$4,'Frontend'!$E$6:$E$205,G17,'Frontend'!$C$6:$C$205,"&lt;&gt;Done",'Frontend'!$C$6:$C$205,"&lt;&gt;Cancelled"))</x:f>
        <x:v>1</x:v>
      </x:c>
      <x:c r="I17" s="152" t="n">
        <x:f>IF(G17="","",SUMIFS('Backend'!$J$6:$J$205,'Backend'!$F$6:$F$205,$C$4,'Backend'!$E$6:$E$205,G17,'Backend'!$C$6:$C$205,"&lt;&gt;Done",'Backend'!$C$6:$C$205,"&lt;&gt;Cancelled")+SUMIFS('Frontend'!$J$6:$J$205,'Frontend'!$F$6:$F$205,$C$4,'Frontend'!$E$6:$E$205,G17,'Frontend'!$C$6:$C$205,"&lt;&gt;Done",'Frontend'!$C$6:$C$205,"&lt;&gt;Cancelled"))</x:f>
        <x:v>8</x:v>
      </x:c>
      <x:c r="J17" s="139" t="n">
        <x:f>IF(G17="","",COUNTIFS('Backend'!$F$6:$F$205,$C$4,'Backend'!$E$6:$E$205,G17,'Backend'!$C$6:$C$205,"Blocked")+COUNTIFS('Frontend'!$F$6:$F$205,$C$4,'Frontend'!$E$6:$E$205,G17,'Frontend'!$C$6:$C$205,"Blocked"))</x:f>
        <x:v>1</x:v>
      </x:c>
      <x:c r="K17" s="139" t="n">
        <x:f>IF(G17="","",COUNTIFS('Backend'!$F$6:$F$205,$C$4,'Backend'!$E$6:$E$205,G17,'Backend'!$V$6:$V$205,"&gt;0",'Backend'!$C$6:$C$205,"&lt;&gt;Done")+COUNTIFS('Frontend'!$F$6:$F$205,$C$4,'Frontend'!$E$6:$E$205,G17,'Frontend'!$V$6:$V$205,"&gt;0",'Frontend'!$C$6:$C$205,"&lt;&gt;Done"))</x:f>
        <x:v>0</x:v>
      </x:c>
      <x:c r="L17" s="139" t="n">
        <x:f>IF(G17="","",COUNTIFS('Backend'!$F$6:$F$205,$C$4,'Backend'!$E$6:$E$205,G17,'Backend'!$C$6:$C$205,"Done")+COUNTIFS('Frontend'!$F$6:$F$205,$C$4,'Frontend'!$E$6:$E$205,G17,'Frontend'!$C$6:$C$205,"Done"))</x:f>
        <x:v>0</x:v>
      </x:c>
    </x:row>
    <x:row r="18">
      <x:c r="A18" s="139" t="str">
        <x:v>Task quá hạn</x:v>
      </x:c>
      <x:c r="B18" s="139" t="n">
        <x:f>COUNTIFS('Backend'!$F$6:$F$205,$C$4,'Backend'!$V$6:$V$205,"&gt;0",'Backend'!$C$6:$C$205,"&lt;&gt;Done",'Backend'!$C$6:$C$205,"&lt;&gt;Cancelled")+COUNTIFS('Frontend'!$F$6:$F$205,$C$4,'Frontend'!$V$6:$V$205,"&gt;0",'Frontend'!$C$6:$C$205,"&lt;&gt;Done",'Frontend'!$C$6:$C$205,"&lt;&gt;Cancelled")</x:f>
        <x:v>0</x:v>
      </x:c>
      <x:c r="G18" s="139" t="str">
        <x:f>IF('Cấu hình'!M16="","",'Cấu hình'!M16)</x:f>
        <x:v>Hoàng Em</x:v>
      </x:c>
      <x:c r="H18" s="139" t="n">
        <x:f>IF(G18="","",COUNTIFS('Backend'!$F$6:$F$205,$C$4,'Backend'!$E$6:$E$205,G18,'Backend'!$C$6:$C$205,"&lt;&gt;Done",'Backend'!$C$6:$C$205,"&lt;&gt;Cancelled")+COUNTIFS('Frontend'!$F$6:$F$205,$C$4,'Frontend'!$E$6:$E$205,G18,'Frontend'!$C$6:$C$205,"&lt;&gt;Done",'Frontend'!$C$6:$C$205,"&lt;&gt;Cancelled"))</x:f>
        <x:v>2</x:v>
      </x:c>
      <x:c r="I18" s="152" t="n">
        <x:f>IF(G18="","",SUMIFS('Backend'!$J$6:$J$205,'Backend'!$F$6:$F$205,$C$4,'Backend'!$E$6:$E$205,G18,'Backend'!$C$6:$C$205,"&lt;&gt;Done",'Backend'!$C$6:$C$205,"&lt;&gt;Cancelled")+SUMIFS('Frontend'!$J$6:$J$205,'Frontend'!$F$6:$F$205,$C$4,'Frontend'!$E$6:$E$205,G18,'Frontend'!$C$6:$C$205,"&lt;&gt;Done",'Frontend'!$C$6:$C$205,"&lt;&gt;Cancelled"))</x:f>
        <x:v>8</x:v>
      </x:c>
      <x:c r="J18" s="139" t="n">
        <x:f>IF(G18="","",COUNTIFS('Backend'!$F$6:$F$205,$C$4,'Backend'!$E$6:$E$205,G18,'Backend'!$C$6:$C$205,"Blocked")+COUNTIFS('Frontend'!$F$6:$F$205,$C$4,'Frontend'!$E$6:$E$205,G18,'Frontend'!$C$6:$C$205,"Blocked"))</x:f>
        <x:v>0</x:v>
      </x:c>
      <x:c r="K18" s="139" t="n">
        <x:f>IF(G18="","",COUNTIFS('Backend'!$F$6:$F$205,$C$4,'Backend'!$E$6:$E$205,G18,'Backend'!$V$6:$V$205,"&gt;0",'Backend'!$C$6:$C$205,"&lt;&gt;Done")+COUNTIFS('Frontend'!$F$6:$F$205,$C$4,'Frontend'!$E$6:$E$205,G18,'Frontend'!$V$6:$V$205,"&gt;0",'Frontend'!$C$6:$C$205,"&lt;&gt;Done"))</x:f>
        <x:v>0</x:v>
      </x:c>
      <x:c r="L18" s="139" t="n">
        <x:f>IF(G18="","",COUNTIFS('Backend'!$F$6:$F$205,$C$4,'Backend'!$E$6:$E$205,G18,'Backend'!$C$6:$C$205,"Done")+COUNTIFS('Frontend'!$F$6:$F$205,$C$4,'Frontend'!$E$6:$E$205,G18,'Frontend'!$C$6:$C$205,"Done"))</x:f>
        <x:v>0</x:v>
      </x:c>
    </x:row>
    <x:row r="19">
      <x:c r="A19" s="140" t="str">
        <x:v>Blocked không có lý do</x:v>
      </x:c>
      <x:c r="B19" s="140" t="n">
        <x:f>COUNTIFS('Backend'!$F$6:$F$205,$C$4,'Backend'!$L$6:$L$205,"Có",'Backend'!$W$6:$W$205,"")+COUNTIFS('Frontend'!$F$6:$F$205,$C$4,'Frontend'!$L$6:$L$205,"Có",'Frontend'!$W$6:$W$205,"")</x:f>
        <x:v>0</x:v>
      </x:c>
      <x:c r="G19" s="139" t="str">
        <x:f>IF('Cấu hình'!M17="","",'Cấu hình'!M17)</x:f>
        <x:v>Võ Giang</x:v>
      </x:c>
      <x:c r="H19" s="139" t="n">
        <x:f>IF(G19="","",COUNTIFS('Backend'!$F$6:$F$205,$C$4,'Backend'!$E$6:$E$205,G19,'Backend'!$C$6:$C$205,"&lt;&gt;Done",'Backend'!$C$6:$C$205,"&lt;&gt;Cancelled")+COUNTIFS('Frontend'!$F$6:$F$205,$C$4,'Frontend'!$E$6:$E$205,G19,'Frontend'!$C$6:$C$205,"&lt;&gt;Done",'Frontend'!$C$6:$C$205,"&lt;&gt;Cancelled"))</x:f>
        <x:v>1</x:v>
      </x:c>
      <x:c r="I19" s="152" t="n">
        <x:f>IF(G19="","",SUMIFS('Backend'!$J$6:$J$205,'Backend'!$F$6:$F$205,$C$4,'Backend'!$E$6:$E$205,G19,'Backend'!$C$6:$C$205,"&lt;&gt;Done",'Backend'!$C$6:$C$205,"&lt;&gt;Cancelled")+SUMIFS('Frontend'!$J$6:$J$205,'Frontend'!$F$6:$F$205,$C$4,'Frontend'!$E$6:$E$205,G19,'Frontend'!$C$6:$C$205,"&lt;&gt;Done",'Frontend'!$C$6:$C$205,"&lt;&gt;Cancelled"))</x:f>
        <x:v>8</x:v>
      </x:c>
      <x:c r="J19" s="139" t="n">
        <x:f>IF(G19="","",COUNTIFS('Backend'!$F$6:$F$205,$C$4,'Backend'!$E$6:$E$205,G19,'Backend'!$C$6:$C$205,"Blocked")+COUNTIFS('Frontend'!$F$6:$F$205,$C$4,'Frontend'!$E$6:$E$205,G19,'Frontend'!$C$6:$C$205,"Blocked"))</x:f>
        <x:v>0</x:v>
      </x:c>
      <x:c r="K19" s="139" t="n">
        <x:f>IF(G19="","",COUNTIFS('Backend'!$F$6:$F$205,$C$4,'Backend'!$E$6:$E$205,G19,'Backend'!$V$6:$V$205,"&gt;0",'Backend'!$C$6:$C$205,"&lt;&gt;Done")+COUNTIFS('Frontend'!$F$6:$F$205,$C$4,'Frontend'!$E$6:$E$205,G19,'Frontend'!$V$6:$V$205,"&gt;0",'Frontend'!$C$6:$C$205,"&lt;&gt;Done"))</x:f>
        <x:v>0</x:v>
      </x:c>
      <x:c r="L19" s="139" t="n">
        <x:f>IF(G19="","",COUNTIFS('Backend'!$F$6:$F$205,$C$4,'Backend'!$E$6:$E$205,G19,'Backend'!$C$6:$C$205,"Done")+COUNTIFS('Frontend'!$F$6:$F$205,$C$4,'Frontend'!$E$6:$E$205,G19,'Frontend'!$C$6:$C$205,"Done"))</x:f>
        <x:v>1</x:v>
      </x:c>
    </x:row>
    <x:row r="20">
      <x:c r="G20" s="139" t="str">
        <x:f>IF('Cấu hình'!M18="","",'Cấu hình'!M18)</x:f>
        <x:v>Đặng Hà</x:v>
      </x:c>
      <x:c r="H20" s="139" t="n">
        <x:f>IF(G20="","",COUNTIFS('Backend'!$F$6:$F$205,$C$4,'Backend'!$E$6:$E$205,G20,'Backend'!$C$6:$C$205,"&lt;&gt;Done",'Backend'!$C$6:$C$205,"&lt;&gt;Cancelled")+COUNTIFS('Frontend'!$F$6:$F$205,$C$4,'Frontend'!$E$6:$E$205,G20,'Frontend'!$C$6:$C$205,"&lt;&gt;Done",'Frontend'!$C$6:$C$205,"&lt;&gt;Cancelled"))</x:f>
        <x:v>1</x:v>
      </x:c>
      <x:c r="I20" s="152" t="n">
        <x:f>IF(G20="","",SUMIFS('Backend'!$J$6:$J$205,'Backend'!$F$6:$F$205,$C$4,'Backend'!$E$6:$E$205,G20,'Backend'!$C$6:$C$205,"&lt;&gt;Done",'Backend'!$C$6:$C$205,"&lt;&gt;Cancelled")+SUMIFS('Frontend'!$J$6:$J$205,'Frontend'!$F$6:$F$205,$C$4,'Frontend'!$E$6:$E$205,G20,'Frontend'!$C$6:$C$205,"&lt;&gt;Done",'Frontend'!$C$6:$C$205,"&lt;&gt;Cancelled"))</x:f>
        <x:v>3</x:v>
      </x:c>
      <x:c r="J20" s="139" t="n">
        <x:f>IF(G20="","",COUNTIFS('Backend'!$F$6:$F$205,$C$4,'Backend'!$E$6:$E$205,G20,'Backend'!$C$6:$C$205,"Blocked")+COUNTIFS('Frontend'!$F$6:$F$205,$C$4,'Frontend'!$E$6:$E$205,G20,'Frontend'!$C$6:$C$205,"Blocked"))</x:f>
        <x:v>0</x:v>
      </x:c>
      <x:c r="K20" s="139" t="n">
        <x:f>IF(G20="","",COUNTIFS('Backend'!$F$6:$F$205,$C$4,'Backend'!$E$6:$E$205,G20,'Backend'!$V$6:$V$205,"&gt;0",'Backend'!$C$6:$C$205,"&lt;&gt;Done")+COUNTIFS('Frontend'!$F$6:$F$205,$C$4,'Frontend'!$E$6:$E$205,G20,'Frontend'!$V$6:$V$205,"&gt;0",'Frontend'!$C$6:$C$205,"&lt;&gt;Done"))</x:f>
        <x:v>0</x:v>
      </x:c>
      <x:c r="L20" s="139" t="n">
        <x:f>IF(G20="","",COUNTIFS('Backend'!$F$6:$F$205,$C$4,'Backend'!$E$6:$E$205,G20,'Backend'!$C$6:$C$205,"Done")+COUNTIFS('Frontend'!$F$6:$F$205,$C$4,'Frontend'!$E$6:$E$205,G20,'Frontend'!$C$6:$C$205,"Done"))</x:f>
        <x:v>0</x:v>
      </x:c>
    </x:row>
    <x:row r="21">
      <x:c r="G21" s="139" t="str">
        <x:f>IF('Cấu hình'!M19="","",'Cấu hình'!M19)</x:f>
        <x:v>Bùi Khang</x:v>
      </x:c>
      <x:c r="H21" s="139" t="n">
        <x:f>IF(G21="","",COUNTIFS('Backend'!$F$6:$F$205,$C$4,'Backend'!$E$6:$E$205,G21,'Backend'!$C$6:$C$205,"&lt;&gt;Done",'Backend'!$C$6:$C$205,"&lt;&gt;Cancelled")+COUNTIFS('Frontend'!$F$6:$F$205,$C$4,'Frontend'!$E$6:$E$205,G21,'Frontend'!$C$6:$C$205,"&lt;&gt;Done",'Frontend'!$C$6:$C$205,"&lt;&gt;Cancelled"))</x:f>
        <x:v>1</x:v>
      </x:c>
      <x:c r="I21" s="152" t="n">
        <x:f>IF(G21="","",SUMIFS('Backend'!$J$6:$J$205,'Backend'!$F$6:$F$205,$C$4,'Backend'!$E$6:$E$205,G21,'Backend'!$C$6:$C$205,"&lt;&gt;Done",'Backend'!$C$6:$C$205,"&lt;&gt;Cancelled")+SUMIFS('Frontend'!$J$6:$J$205,'Frontend'!$F$6:$F$205,$C$4,'Frontend'!$E$6:$E$205,G21,'Frontend'!$C$6:$C$205,"&lt;&gt;Done",'Frontend'!$C$6:$C$205,"&lt;&gt;Cancelled"))</x:f>
        <x:v>5</x:v>
      </x:c>
      <x:c r="J21" s="139" t="n">
        <x:f>IF(G21="","",COUNTIFS('Backend'!$F$6:$F$205,$C$4,'Backend'!$E$6:$E$205,G21,'Backend'!$C$6:$C$205,"Blocked")+COUNTIFS('Frontend'!$F$6:$F$205,$C$4,'Frontend'!$E$6:$E$205,G21,'Frontend'!$C$6:$C$205,"Blocked"))</x:f>
        <x:v>1</x:v>
      </x:c>
      <x:c r="K21" s="139" t="n">
        <x:f>IF(G21="","",COUNTIFS('Backend'!$F$6:$F$205,$C$4,'Backend'!$E$6:$E$205,G21,'Backend'!$V$6:$V$205,"&gt;0",'Backend'!$C$6:$C$205,"&lt;&gt;Done")+COUNTIFS('Frontend'!$F$6:$F$205,$C$4,'Frontend'!$E$6:$E$205,G21,'Frontend'!$V$6:$V$205,"&gt;0",'Frontend'!$C$6:$C$205,"&lt;&gt;Done"))</x:f>
        <x:v>0</x:v>
      </x:c>
      <x:c r="L21" s="139" t="n">
        <x:f>IF(G21="","",COUNTIFS('Backend'!$F$6:$F$205,$C$4,'Backend'!$E$6:$E$205,G21,'Backend'!$C$6:$C$205,"Done")+COUNTIFS('Frontend'!$F$6:$F$205,$C$4,'Frontend'!$E$6:$E$205,G21,'Frontend'!$C$6:$C$205,"Done"))</x:f>
        <x:v>0</x:v>
      </x:c>
    </x:row>
    <x:row r="22">
      <x:c r="G22" s="139" t="str">
        <x:f>IF('Cấu hình'!M20="","",'Cấu hình'!M20)</x:f>
        <x:v>PO</x:v>
      </x:c>
      <x:c r="H22" s="139" t="n">
        <x:f>IF(G22="","",COUNTIFS('Backend'!$F$6:$F$205,$C$4,'Backend'!$E$6:$E$205,G22,'Backend'!$C$6:$C$205,"&lt;&gt;Done",'Backend'!$C$6:$C$205,"&lt;&gt;Cancelled")+COUNTIFS('Frontend'!$F$6:$F$205,$C$4,'Frontend'!$E$6:$E$205,G22,'Frontend'!$C$6:$C$205,"&lt;&gt;Done",'Frontend'!$C$6:$C$205,"&lt;&gt;Cancelled"))</x:f>
        <x:v>0</x:v>
      </x:c>
      <x:c r="I22" s="152" t="n">
        <x:f>IF(G22="","",SUMIFS('Backend'!$J$6:$J$205,'Backend'!$F$6:$F$205,$C$4,'Backend'!$E$6:$E$205,G22,'Backend'!$C$6:$C$205,"&lt;&gt;Done",'Backend'!$C$6:$C$205,"&lt;&gt;Cancelled")+SUMIFS('Frontend'!$J$6:$J$205,'Frontend'!$F$6:$F$205,$C$4,'Frontend'!$E$6:$E$205,G22,'Frontend'!$C$6:$C$205,"&lt;&gt;Done",'Frontend'!$C$6:$C$205,"&lt;&gt;Cancelled"))</x:f>
        <x:v>0</x:v>
      </x:c>
      <x:c r="J22" s="139" t="n">
        <x:f>IF(G22="","",COUNTIFS('Backend'!$F$6:$F$205,$C$4,'Backend'!$E$6:$E$205,G22,'Backend'!$C$6:$C$205,"Blocked")+COUNTIFS('Frontend'!$F$6:$F$205,$C$4,'Frontend'!$E$6:$E$205,G22,'Frontend'!$C$6:$C$205,"Blocked"))</x:f>
        <x:v>0</x:v>
      </x:c>
      <x:c r="K22" s="139" t="n">
        <x:f>IF(G22="","",COUNTIFS('Backend'!$F$6:$F$205,$C$4,'Backend'!$E$6:$E$205,G22,'Backend'!$V$6:$V$205,"&gt;0",'Backend'!$C$6:$C$205,"&lt;&gt;Done")+COUNTIFS('Frontend'!$F$6:$F$205,$C$4,'Frontend'!$E$6:$E$205,G22,'Frontend'!$V$6:$V$205,"&gt;0",'Frontend'!$C$6:$C$205,"&lt;&gt;Done"))</x:f>
        <x:v>0</x:v>
      </x:c>
      <x:c r="L22" s="139" t="n">
        <x:f>IF(G22="","",COUNTIFS('Backend'!$F$6:$F$205,$C$4,'Backend'!$E$6:$E$205,G22,'Backend'!$C$6:$C$205,"Done")+COUNTIFS('Frontend'!$F$6:$F$205,$C$4,'Frontend'!$E$6:$E$205,G22,'Frontend'!$C$6:$C$205,"Done"))</x:f>
        <x:v>0</x:v>
      </x:c>
    </x:row>
    <x:row r="23">
      <x:c r="G23" s="139" t="str">
        <x:f>IF('Cấu hình'!M21="","",'Cấu hình'!M21)</x:f>
        <x:v>QA</x:v>
      </x:c>
      <x:c r="H23" s="139" t="n">
        <x:f>IF(G23="","",COUNTIFS('Backend'!$F$6:$F$205,$C$4,'Backend'!$E$6:$E$205,G23,'Backend'!$C$6:$C$205,"&lt;&gt;Done",'Backend'!$C$6:$C$205,"&lt;&gt;Cancelled")+COUNTIFS('Frontend'!$F$6:$F$205,$C$4,'Frontend'!$E$6:$E$205,G23,'Frontend'!$C$6:$C$205,"&lt;&gt;Done",'Frontend'!$C$6:$C$205,"&lt;&gt;Cancelled"))</x:f>
        <x:v>0</x:v>
      </x:c>
      <x:c r="I23" s="152" t="n">
        <x:f>IF(G23="","",SUMIFS('Backend'!$J$6:$J$205,'Backend'!$F$6:$F$205,$C$4,'Backend'!$E$6:$E$205,G23,'Backend'!$C$6:$C$205,"&lt;&gt;Done",'Backend'!$C$6:$C$205,"&lt;&gt;Cancelled")+SUMIFS('Frontend'!$J$6:$J$205,'Frontend'!$F$6:$F$205,$C$4,'Frontend'!$E$6:$E$205,G23,'Frontend'!$C$6:$C$205,"&lt;&gt;Done",'Frontend'!$C$6:$C$205,"&lt;&gt;Cancelled"))</x:f>
        <x:v>0</x:v>
      </x:c>
      <x:c r="J23" s="139" t="n">
        <x:f>IF(G23="","",COUNTIFS('Backend'!$F$6:$F$205,$C$4,'Backend'!$E$6:$E$205,G23,'Backend'!$C$6:$C$205,"Blocked")+COUNTIFS('Frontend'!$F$6:$F$205,$C$4,'Frontend'!$E$6:$E$205,G23,'Frontend'!$C$6:$C$205,"Blocked"))</x:f>
        <x:v>0</x:v>
      </x:c>
      <x:c r="K23" s="139" t="n">
        <x:f>IF(G23="","",COUNTIFS('Backend'!$F$6:$F$205,$C$4,'Backend'!$E$6:$E$205,G23,'Backend'!$V$6:$V$205,"&gt;0",'Backend'!$C$6:$C$205,"&lt;&gt;Done")+COUNTIFS('Frontend'!$F$6:$F$205,$C$4,'Frontend'!$E$6:$E$205,G23,'Frontend'!$V$6:$V$205,"&gt;0",'Frontend'!$C$6:$C$205,"&lt;&gt;Done"))</x:f>
        <x:v>0</x:v>
      </x:c>
      <x:c r="L23" s="139" t="n">
        <x:f>IF(G23="","",COUNTIFS('Backend'!$F$6:$F$205,$C$4,'Backend'!$E$6:$E$205,G23,'Backend'!$C$6:$C$205,"Done")+COUNTIFS('Frontend'!$F$6:$F$205,$C$4,'Frontend'!$E$6:$E$205,G23,'Frontend'!$C$6:$C$205,"Done"))</x:f>
        <x:v>0</x:v>
      </x:c>
    </x:row>
    <x:row r="24">
      <x:c r="G24" s="139" t="str">
        <x:f>IF('Cấu hình'!M22="","",'Cấu hình'!M22)</x:f>
      </x:c>
      <x:c r="H24" s="139" t="str">
        <x:f>IF(G24="","",COUNTIFS('Backend'!$F$6:$F$205,$C$4,'Backend'!$E$6:$E$205,G24,'Backend'!$C$6:$C$205,"&lt;&gt;Done",'Backend'!$C$6:$C$205,"&lt;&gt;Cancelled")+COUNTIFS('Frontend'!$F$6:$F$205,$C$4,'Frontend'!$E$6:$E$205,G24,'Frontend'!$C$6:$C$205,"&lt;&gt;Done",'Frontend'!$C$6:$C$205,"&lt;&gt;Cancelled"))</x:f>
      </x:c>
      <x:c r="I24" s="152" t="str">
        <x:f>IF(G24="","",SUMIFS('Backend'!$J$6:$J$205,'Backend'!$F$6:$F$205,$C$4,'Backend'!$E$6:$E$205,G24,'Backend'!$C$6:$C$205,"&lt;&gt;Done",'Backend'!$C$6:$C$205,"&lt;&gt;Cancelled")+SUMIFS('Frontend'!$J$6:$J$205,'Frontend'!$F$6:$F$205,$C$4,'Frontend'!$E$6:$E$205,G24,'Frontend'!$C$6:$C$205,"&lt;&gt;Done",'Frontend'!$C$6:$C$205,"&lt;&gt;Cancelled"))</x:f>
      </x:c>
      <x:c r="J24" s="139" t="str">
        <x:f>IF(G24="","",COUNTIFS('Backend'!$F$6:$F$205,$C$4,'Backend'!$E$6:$E$205,G24,'Backend'!$C$6:$C$205,"Blocked")+COUNTIFS('Frontend'!$F$6:$F$205,$C$4,'Frontend'!$E$6:$E$205,G24,'Frontend'!$C$6:$C$205,"Blocked"))</x:f>
      </x:c>
      <x:c r="K24" s="139" t="str">
        <x:f>IF(G24="","",COUNTIFS('Backend'!$F$6:$F$205,$C$4,'Backend'!$E$6:$E$205,G24,'Backend'!$V$6:$V$205,"&gt;0",'Backend'!$C$6:$C$205,"&lt;&gt;Done")+COUNTIFS('Frontend'!$F$6:$F$205,$C$4,'Frontend'!$E$6:$E$205,G24,'Frontend'!$V$6:$V$205,"&gt;0",'Frontend'!$C$6:$C$205,"&lt;&gt;Done"))</x:f>
      </x:c>
      <x:c r="L24" s="139" t="str">
        <x:f>IF(G24="","",COUNTIFS('Backend'!$F$6:$F$205,$C$4,'Backend'!$E$6:$E$205,G24,'Backend'!$C$6:$C$205,"Done")+COUNTIFS('Frontend'!$F$6:$F$205,$C$4,'Frontend'!$E$6:$E$205,G24,'Frontend'!$C$6:$C$205,"Done"))</x:f>
      </x:c>
    </x:row>
    <x:row r="25">
      <x:c r="G25" s="139" t="str">
        <x:f>IF('Cấu hình'!M23="","",'Cấu hình'!M23)</x:f>
      </x:c>
      <x:c r="H25" s="139" t="str">
        <x:f>IF(G25="","",COUNTIFS('Backend'!$F$6:$F$205,$C$4,'Backend'!$E$6:$E$205,G25,'Backend'!$C$6:$C$205,"&lt;&gt;Done",'Backend'!$C$6:$C$205,"&lt;&gt;Cancelled")+COUNTIFS('Frontend'!$F$6:$F$205,$C$4,'Frontend'!$E$6:$E$205,G25,'Frontend'!$C$6:$C$205,"&lt;&gt;Done",'Frontend'!$C$6:$C$205,"&lt;&gt;Cancelled"))</x:f>
      </x:c>
      <x:c r="I25" s="152" t="str">
        <x:f>IF(G25="","",SUMIFS('Backend'!$J$6:$J$205,'Backend'!$F$6:$F$205,$C$4,'Backend'!$E$6:$E$205,G25,'Backend'!$C$6:$C$205,"&lt;&gt;Done",'Backend'!$C$6:$C$205,"&lt;&gt;Cancelled")+SUMIFS('Frontend'!$J$6:$J$205,'Frontend'!$F$6:$F$205,$C$4,'Frontend'!$E$6:$E$205,G25,'Frontend'!$C$6:$C$205,"&lt;&gt;Done",'Frontend'!$C$6:$C$205,"&lt;&gt;Cancelled"))</x:f>
      </x:c>
      <x:c r="J25" s="139" t="str">
        <x:f>IF(G25="","",COUNTIFS('Backend'!$F$6:$F$205,$C$4,'Backend'!$E$6:$E$205,G25,'Backend'!$C$6:$C$205,"Blocked")+COUNTIFS('Frontend'!$F$6:$F$205,$C$4,'Frontend'!$E$6:$E$205,G25,'Frontend'!$C$6:$C$205,"Blocked"))</x:f>
      </x:c>
      <x:c r="K25" s="139" t="str">
        <x:f>IF(G25="","",COUNTIFS('Backend'!$F$6:$F$205,$C$4,'Backend'!$E$6:$E$205,G25,'Backend'!$V$6:$V$205,"&gt;0",'Backend'!$C$6:$C$205,"&lt;&gt;Done")+COUNTIFS('Frontend'!$F$6:$F$205,$C$4,'Frontend'!$E$6:$E$205,G25,'Frontend'!$V$6:$V$205,"&gt;0",'Frontend'!$C$6:$C$205,"&lt;&gt;Done"))</x:f>
      </x:c>
      <x:c r="L25" s="139" t="str">
        <x:f>IF(G25="","",COUNTIFS('Backend'!$F$6:$F$205,$C$4,'Backend'!$E$6:$E$205,G25,'Backend'!$C$6:$C$205,"Done")+COUNTIFS('Frontend'!$F$6:$F$205,$C$4,'Frontend'!$E$6:$E$205,G25,'Frontend'!$C$6:$C$205,"Done"))</x:f>
      </x:c>
    </x:row>
    <x:row r="26">
      <x:c r="G26" s="139" t="str">
        <x:f>IF('Cấu hình'!M24="","",'Cấu hình'!M24)</x:f>
      </x:c>
      <x:c r="H26" s="139" t="str">
        <x:f>IF(G26="","",COUNTIFS('Backend'!$F$6:$F$205,$C$4,'Backend'!$E$6:$E$205,G26,'Backend'!$C$6:$C$205,"&lt;&gt;Done",'Backend'!$C$6:$C$205,"&lt;&gt;Cancelled")+COUNTIFS('Frontend'!$F$6:$F$205,$C$4,'Frontend'!$E$6:$E$205,G26,'Frontend'!$C$6:$C$205,"&lt;&gt;Done",'Frontend'!$C$6:$C$205,"&lt;&gt;Cancelled"))</x:f>
      </x:c>
      <x:c r="I26" s="152" t="str">
        <x:f>IF(G26="","",SUMIFS('Backend'!$J$6:$J$205,'Backend'!$F$6:$F$205,$C$4,'Backend'!$E$6:$E$205,G26,'Backend'!$C$6:$C$205,"&lt;&gt;Done",'Backend'!$C$6:$C$205,"&lt;&gt;Cancelled")+SUMIFS('Frontend'!$J$6:$J$205,'Frontend'!$F$6:$F$205,$C$4,'Frontend'!$E$6:$E$205,G26,'Frontend'!$C$6:$C$205,"&lt;&gt;Done",'Frontend'!$C$6:$C$205,"&lt;&gt;Cancelled"))</x:f>
      </x:c>
      <x:c r="J26" s="139" t="str">
        <x:f>IF(G26="","",COUNTIFS('Backend'!$F$6:$F$205,$C$4,'Backend'!$E$6:$E$205,G26,'Backend'!$C$6:$C$205,"Blocked")+COUNTIFS('Frontend'!$F$6:$F$205,$C$4,'Frontend'!$E$6:$E$205,G26,'Frontend'!$C$6:$C$205,"Blocked"))</x:f>
      </x:c>
      <x:c r="K26" s="139" t="str">
        <x:f>IF(G26="","",COUNTIFS('Backend'!$F$6:$F$205,$C$4,'Backend'!$E$6:$E$205,G26,'Backend'!$V$6:$V$205,"&gt;0",'Backend'!$C$6:$C$205,"&lt;&gt;Done")+COUNTIFS('Frontend'!$F$6:$F$205,$C$4,'Frontend'!$E$6:$E$205,G26,'Frontend'!$V$6:$V$205,"&gt;0",'Frontend'!$C$6:$C$205,"&lt;&gt;Done"))</x:f>
      </x:c>
      <x:c r="L26" s="139" t="str">
        <x:f>IF(G26="","",COUNTIFS('Backend'!$F$6:$F$205,$C$4,'Backend'!$E$6:$E$205,G26,'Backend'!$C$6:$C$205,"Done")+COUNTIFS('Frontend'!$F$6:$F$205,$C$4,'Frontend'!$E$6:$E$205,G26,'Frontend'!$C$6:$C$205,"Done"))</x:f>
      </x:c>
    </x:row>
    <x:row r="27">
      <x:c r="G27" s="139" t="str">
        <x:f>IF('Cấu hình'!M25="","",'Cấu hình'!M25)</x:f>
      </x:c>
      <x:c r="H27" s="139" t="str">
        <x:f>IF(G27="","",COUNTIFS('Backend'!$F$6:$F$205,$C$4,'Backend'!$E$6:$E$205,G27,'Backend'!$C$6:$C$205,"&lt;&gt;Done",'Backend'!$C$6:$C$205,"&lt;&gt;Cancelled")+COUNTIFS('Frontend'!$F$6:$F$205,$C$4,'Frontend'!$E$6:$E$205,G27,'Frontend'!$C$6:$C$205,"&lt;&gt;Done",'Frontend'!$C$6:$C$205,"&lt;&gt;Cancelled"))</x:f>
      </x:c>
      <x:c r="I27" s="152" t="str">
        <x:f>IF(G27="","",SUMIFS('Backend'!$J$6:$J$205,'Backend'!$F$6:$F$205,$C$4,'Backend'!$E$6:$E$205,G27,'Backend'!$C$6:$C$205,"&lt;&gt;Done",'Backend'!$C$6:$C$205,"&lt;&gt;Cancelled")+SUMIFS('Frontend'!$J$6:$J$205,'Frontend'!$F$6:$F$205,$C$4,'Frontend'!$E$6:$E$205,G27,'Frontend'!$C$6:$C$205,"&lt;&gt;Done",'Frontend'!$C$6:$C$205,"&lt;&gt;Cancelled"))</x:f>
      </x:c>
      <x:c r="J27" s="139" t="str">
        <x:f>IF(G27="","",COUNTIFS('Backend'!$F$6:$F$205,$C$4,'Backend'!$E$6:$E$205,G27,'Backend'!$C$6:$C$205,"Blocked")+COUNTIFS('Frontend'!$F$6:$F$205,$C$4,'Frontend'!$E$6:$E$205,G27,'Frontend'!$C$6:$C$205,"Blocked"))</x:f>
      </x:c>
      <x:c r="K27" s="139" t="str">
        <x:f>IF(G27="","",COUNTIFS('Backend'!$F$6:$F$205,$C$4,'Backend'!$E$6:$E$205,G27,'Backend'!$V$6:$V$205,"&gt;0",'Backend'!$C$6:$C$205,"&lt;&gt;Done")+COUNTIFS('Frontend'!$F$6:$F$205,$C$4,'Frontend'!$E$6:$E$205,G27,'Frontend'!$V$6:$V$205,"&gt;0",'Frontend'!$C$6:$C$205,"&lt;&gt;Done"))</x:f>
      </x:c>
      <x:c r="L27" s="139" t="str">
        <x:f>IF(G27="","",COUNTIFS('Backend'!$F$6:$F$205,$C$4,'Backend'!$E$6:$E$205,G27,'Backend'!$C$6:$C$205,"Done")+COUNTIFS('Frontend'!$F$6:$F$205,$C$4,'Frontend'!$E$6:$E$205,G27,'Frontend'!$C$6:$C$205,"Done"))</x:f>
      </x:c>
    </x:row>
    <x:row r="28">
      <x:c r="G28" s="139" t="str">
        <x:f>IF('Cấu hình'!M26="","",'Cấu hình'!M26)</x:f>
      </x:c>
      <x:c r="H28" s="139" t="str">
        <x:f>IF(G28="","",COUNTIFS('Backend'!$F$6:$F$205,$C$4,'Backend'!$E$6:$E$205,G28,'Backend'!$C$6:$C$205,"&lt;&gt;Done",'Backend'!$C$6:$C$205,"&lt;&gt;Cancelled")+COUNTIFS('Frontend'!$F$6:$F$205,$C$4,'Frontend'!$E$6:$E$205,G28,'Frontend'!$C$6:$C$205,"&lt;&gt;Done",'Frontend'!$C$6:$C$205,"&lt;&gt;Cancelled"))</x:f>
      </x:c>
      <x:c r="I28" s="152" t="str">
        <x:f>IF(G28="","",SUMIFS('Backend'!$J$6:$J$205,'Backend'!$F$6:$F$205,$C$4,'Backend'!$E$6:$E$205,G28,'Backend'!$C$6:$C$205,"&lt;&gt;Done",'Backend'!$C$6:$C$205,"&lt;&gt;Cancelled")+SUMIFS('Frontend'!$J$6:$J$205,'Frontend'!$F$6:$F$205,$C$4,'Frontend'!$E$6:$E$205,G28,'Frontend'!$C$6:$C$205,"&lt;&gt;Done",'Frontend'!$C$6:$C$205,"&lt;&gt;Cancelled"))</x:f>
      </x:c>
      <x:c r="J28" s="139" t="str">
        <x:f>IF(G28="","",COUNTIFS('Backend'!$F$6:$F$205,$C$4,'Backend'!$E$6:$E$205,G28,'Backend'!$C$6:$C$205,"Blocked")+COUNTIFS('Frontend'!$F$6:$F$205,$C$4,'Frontend'!$E$6:$E$205,G28,'Frontend'!$C$6:$C$205,"Blocked"))</x:f>
      </x:c>
      <x:c r="K28" s="139" t="str">
        <x:f>IF(G28="","",COUNTIFS('Backend'!$F$6:$F$205,$C$4,'Backend'!$E$6:$E$205,G28,'Backend'!$V$6:$V$205,"&gt;0",'Backend'!$C$6:$C$205,"&lt;&gt;Done")+COUNTIFS('Frontend'!$F$6:$F$205,$C$4,'Frontend'!$E$6:$E$205,G28,'Frontend'!$V$6:$V$205,"&gt;0",'Frontend'!$C$6:$C$205,"&lt;&gt;Done"))</x:f>
      </x:c>
      <x:c r="L28" s="139" t="str">
        <x:f>IF(G28="","",COUNTIFS('Backend'!$F$6:$F$205,$C$4,'Backend'!$E$6:$E$205,G28,'Backend'!$C$6:$C$205,"Done")+COUNTIFS('Frontend'!$F$6:$F$205,$C$4,'Frontend'!$E$6:$E$205,G28,'Frontend'!$C$6:$C$205,"Done"))</x:f>
      </x:c>
    </x:row>
    <x:row r="29">
      <x:c r="G29" s="139" t="str">
        <x:f>IF('Cấu hình'!M27="","",'Cấu hình'!M27)</x:f>
      </x:c>
      <x:c r="H29" s="139" t="str">
        <x:f>IF(G29="","",COUNTIFS('Backend'!$F$6:$F$205,$C$4,'Backend'!$E$6:$E$205,G29,'Backend'!$C$6:$C$205,"&lt;&gt;Done",'Backend'!$C$6:$C$205,"&lt;&gt;Cancelled")+COUNTIFS('Frontend'!$F$6:$F$205,$C$4,'Frontend'!$E$6:$E$205,G29,'Frontend'!$C$6:$C$205,"&lt;&gt;Done",'Frontend'!$C$6:$C$205,"&lt;&gt;Cancelled"))</x:f>
      </x:c>
      <x:c r="I29" s="152" t="str">
        <x:f>IF(G29="","",SUMIFS('Backend'!$J$6:$J$205,'Backend'!$F$6:$F$205,$C$4,'Backend'!$E$6:$E$205,G29,'Backend'!$C$6:$C$205,"&lt;&gt;Done",'Backend'!$C$6:$C$205,"&lt;&gt;Cancelled")+SUMIFS('Frontend'!$J$6:$J$205,'Frontend'!$F$6:$F$205,$C$4,'Frontend'!$E$6:$E$205,G29,'Frontend'!$C$6:$C$205,"&lt;&gt;Done",'Frontend'!$C$6:$C$205,"&lt;&gt;Cancelled"))</x:f>
      </x:c>
      <x:c r="J29" s="139" t="str">
        <x:f>IF(G29="","",COUNTIFS('Backend'!$F$6:$F$205,$C$4,'Backend'!$E$6:$E$205,G29,'Backend'!$C$6:$C$205,"Blocked")+COUNTIFS('Frontend'!$F$6:$F$205,$C$4,'Frontend'!$E$6:$E$205,G29,'Frontend'!$C$6:$C$205,"Blocked"))</x:f>
      </x:c>
      <x:c r="K29" s="139" t="str">
        <x:f>IF(G29="","",COUNTIFS('Backend'!$F$6:$F$205,$C$4,'Backend'!$E$6:$E$205,G29,'Backend'!$V$6:$V$205,"&gt;0",'Backend'!$C$6:$C$205,"&lt;&gt;Done")+COUNTIFS('Frontend'!$F$6:$F$205,$C$4,'Frontend'!$E$6:$E$205,G29,'Frontend'!$V$6:$V$205,"&gt;0",'Frontend'!$C$6:$C$205,"&lt;&gt;Done"))</x:f>
      </x:c>
      <x:c r="L29" s="139" t="str">
        <x:f>IF(G29="","",COUNTIFS('Backend'!$F$6:$F$205,$C$4,'Backend'!$E$6:$E$205,G29,'Backend'!$C$6:$C$205,"Done")+COUNTIFS('Frontend'!$F$6:$F$205,$C$4,'Frontend'!$E$6:$E$205,G29,'Frontend'!$C$6:$C$205,"Done"))</x:f>
      </x:c>
    </x:row>
    <x:row r="30">
      <x:c r="G30" s="139" t="str">
        <x:f>IF('Cấu hình'!M28="","",'Cấu hình'!M28)</x:f>
      </x:c>
      <x:c r="H30" s="139" t="str">
        <x:f>IF(G30="","",COUNTIFS('Backend'!$F$6:$F$205,$C$4,'Backend'!$E$6:$E$205,G30,'Backend'!$C$6:$C$205,"&lt;&gt;Done",'Backend'!$C$6:$C$205,"&lt;&gt;Cancelled")+COUNTIFS('Frontend'!$F$6:$F$205,$C$4,'Frontend'!$E$6:$E$205,G30,'Frontend'!$C$6:$C$205,"&lt;&gt;Done",'Frontend'!$C$6:$C$205,"&lt;&gt;Cancelled"))</x:f>
      </x:c>
      <x:c r="I30" s="152" t="str">
        <x:f>IF(G30="","",SUMIFS('Backend'!$J$6:$J$205,'Backend'!$F$6:$F$205,$C$4,'Backend'!$E$6:$E$205,G30,'Backend'!$C$6:$C$205,"&lt;&gt;Done",'Backend'!$C$6:$C$205,"&lt;&gt;Cancelled")+SUMIFS('Frontend'!$J$6:$J$205,'Frontend'!$F$6:$F$205,$C$4,'Frontend'!$E$6:$E$205,G30,'Frontend'!$C$6:$C$205,"&lt;&gt;Done",'Frontend'!$C$6:$C$205,"&lt;&gt;Cancelled"))</x:f>
      </x:c>
      <x:c r="J30" s="139" t="str">
        <x:f>IF(G30="","",COUNTIFS('Backend'!$F$6:$F$205,$C$4,'Backend'!$E$6:$E$205,G30,'Backend'!$C$6:$C$205,"Blocked")+COUNTIFS('Frontend'!$F$6:$F$205,$C$4,'Frontend'!$E$6:$E$205,G30,'Frontend'!$C$6:$C$205,"Blocked"))</x:f>
      </x:c>
      <x:c r="K30" s="139" t="str">
        <x:f>IF(G30="","",COUNTIFS('Backend'!$F$6:$F$205,$C$4,'Backend'!$E$6:$E$205,G30,'Backend'!$V$6:$V$205,"&gt;0",'Backend'!$C$6:$C$205,"&lt;&gt;Done")+COUNTIFS('Frontend'!$F$6:$F$205,$C$4,'Frontend'!$E$6:$E$205,G30,'Frontend'!$V$6:$V$205,"&gt;0",'Frontend'!$C$6:$C$205,"&lt;&gt;Done"))</x:f>
      </x:c>
      <x:c r="L30" s="139" t="str">
        <x:f>IF(G30="","",COUNTIFS('Backend'!$F$6:$F$205,$C$4,'Backend'!$E$6:$E$205,G30,'Backend'!$C$6:$C$205,"Done")+COUNTIFS('Frontend'!$F$6:$F$205,$C$4,'Frontend'!$E$6:$E$205,G30,'Frontend'!$C$6:$C$205,"Done"))</x:f>
      </x:c>
    </x:row>
    <x:row r="31">
      <x:c r="G31" s="139" t="str">
        <x:f>IF('Cấu hình'!M29="","",'Cấu hình'!M29)</x:f>
      </x:c>
      <x:c r="H31" s="139" t="str">
        <x:f>IF(G31="","",COUNTIFS('Backend'!$F$6:$F$205,$C$4,'Backend'!$E$6:$E$205,G31,'Backend'!$C$6:$C$205,"&lt;&gt;Done",'Backend'!$C$6:$C$205,"&lt;&gt;Cancelled")+COUNTIFS('Frontend'!$F$6:$F$205,$C$4,'Frontend'!$E$6:$E$205,G31,'Frontend'!$C$6:$C$205,"&lt;&gt;Done",'Frontend'!$C$6:$C$205,"&lt;&gt;Cancelled"))</x:f>
      </x:c>
      <x:c r="I31" s="152" t="str">
        <x:f>IF(G31="","",SUMIFS('Backend'!$J$6:$J$205,'Backend'!$F$6:$F$205,$C$4,'Backend'!$E$6:$E$205,G31,'Backend'!$C$6:$C$205,"&lt;&gt;Done",'Backend'!$C$6:$C$205,"&lt;&gt;Cancelled")+SUMIFS('Frontend'!$J$6:$J$205,'Frontend'!$F$6:$F$205,$C$4,'Frontend'!$E$6:$E$205,G31,'Frontend'!$C$6:$C$205,"&lt;&gt;Done",'Frontend'!$C$6:$C$205,"&lt;&gt;Cancelled"))</x:f>
      </x:c>
      <x:c r="J31" s="139" t="str">
        <x:f>IF(G31="","",COUNTIFS('Backend'!$F$6:$F$205,$C$4,'Backend'!$E$6:$E$205,G31,'Backend'!$C$6:$C$205,"Blocked")+COUNTIFS('Frontend'!$F$6:$F$205,$C$4,'Frontend'!$E$6:$E$205,G31,'Frontend'!$C$6:$C$205,"Blocked"))</x:f>
      </x:c>
      <x:c r="K31" s="139" t="str">
        <x:f>IF(G31="","",COUNTIFS('Backend'!$F$6:$F$205,$C$4,'Backend'!$E$6:$E$205,G31,'Backend'!$V$6:$V$205,"&gt;0",'Backend'!$C$6:$C$205,"&lt;&gt;Done")+COUNTIFS('Frontend'!$F$6:$F$205,$C$4,'Frontend'!$E$6:$E$205,G31,'Frontend'!$V$6:$V$205,"&gt;0",'Frontend'!$C$6:$C$205,"&lt;&gt;Done"))</x:f>
      </x:c>
      <x:c r="L31" s="139" t="str">
        <x:f>IF(G31="","",COUNTIFS('Backend'!$F$6:$F$205,$C$4,'Backend'!$E$6:$E$205,G31,'Backend'!$C$6:$C$205,"Done")+COUNTIFS('Frontend'!$F$6:$F$205,$C$4,'Frontend'!$E$6:$E$205,G31,'Frontend'!$C$6:$C$205,"Done"))</x:f>
      </x:c>
    </x:row>
    <x:row r="32">
      <x:c r="G32" s="139" t="str">
        <x:f>IF('Cấu hình'!M30="","",'Cấu hình'!M30)</x:f>
      </x:c>
      <x:c r="H32" s="139" t="str">
        <x:f>IF(G32="","",COUNTIFS('Backend'!$F$6:$F$205,$C$4,'Backend'!$E$6:$E$205,G32,'Backend'!$C$6:$C$205,"&lt;&gt;Done",'Backend'!$C$6:$C$205,"&lt;&gt;Cancelled")+COUNTIFS('Frontend'!$F$6:$F$205,$C$4,'Frontend'!$E$6:$E$205,G32,'Frontend'!$C$6:$C$205,"&lt;&gt;Done",'Frontend'!$C$6:$C$205,"&lt;&gt;Cancelled"))</x:f>
      </x:c>
      <x:c r="I32" s="152" t="str">
        <x:f>IF(G32="","",SUMIFS('Backend'!$J$6:$J$205,'Backend'!$F$6:$F$205,$C$4,'Backend'!$E$6:$E$205,G32,'Backend'!$C$6:$C$205,"&lt;&gt;Done",'Backend'!$C$6:$C$205,"&lt;&gt;Cancelled")+SUMIFS('Frontend'!$J$6:$J$205,'Frontend'!$F$6:$F$205,$C$4,'Frontend'!$E$6:$E$205,G32,'Frontend'!$C$6:$C$205,"&lt;&gt;Done",'Frontend'!$C$6:$C$205,"&lt;&gt;Cancelled"))</x:f>
      </x:c>
      <x:c r="J32" s="139" t="str">
        <x:f>IF(G32="","",COUNTIFS('Backend'!$F$6:$F$205,$C$4,'Backend'!$E$6:$E$205,G32,'Backend'!$C$6:$C$205,"Blocked")+COUNTIFS('Frontend'!$F$6:$F$205,$C$4,'Frontend'!$E$6:$E$205,G32,'Frontend'!$C$6:$C$205,"Blocked"))</x:f>
      </x:c>
      <x:c r="K32" s="139" t="str">
        <x:f>IF(G32="","",COUNTIFS('Backend'!$F$6:$F$205,$C$4,'Backend'!$E$6:$E$205,G32,'Backend'!$V$6:$V$205,"&gt;0",'Backend'!$C$6:$C$205,"&lt;&gt;Done")+COUNTIFS('Frontend'!$F$6:$F$205,$C$4,'Frontend'!$E$6:$E$205,G32,'Frontend'!$V$6:$V$205,"&gt;0",'Frontend'!$C$6:$C$205,"&lt;&gt;Done"))</x:f>
      </x:c>
      <x:c r="L32" s="139" t="str">
        <x:f>IF(G32="","",COUNTIFS('Backend'!$F$6:$F$205,$C$4,'Backend'!$E$6:$E$205,G32,'Backend'!$C$6:$C$205,"Done")+COUNTIFS('Frontend'!$F$6:$F$205,$C$4,'Frontend'!$E$6:$E$205,G32,'Frontend'!$C$6:$C$205,"Done"))</x:f>
      </x:c>
    </x:row>
    <x:row r="33">
      <x:c r="G33" s="140" t="str">
        <x:f>IF('Cấu hình'!M31="","",'Cấu hình'!M31)</x:f>
      </x:c>
      <x:c r="H33" s="140" t="str">
        <x:f>IF(G33="","",COUNTIFS('Backend'!$F$6:$F$205,$C$4,'Backend'!$E$6:$E$205,G33,'Backend'!$C$6:$C$205,"&lt;&gt;Done",'Backend'!$C$6:$C$205,"&lt;&gt;Cancelled")+COUNTIFS('Frontend'!$F$6:$F$205,$C$4,'Frontend'!$E$6:$E$205,G33,'Frontend'!$C$6:$C$205,"&lt;&gt;Done",'Frontend'!$C$6:$C$205,"&lt;&gt;Cancelled"))</x:f>
      </x:c>
      <x:c r="I33" s="154" t="str">
        <x:f>IF(G33="","",SUMIFS('Backend'!$J$6:$J$205,'Backend'!$F$6:$F$205,$C$4,'Backend'!$E$6:$E$205,G33,'Backend'!$C$6:$C$205,"&lt;&gt;Done",'Backend'!$C$6:$C$205,"&lt;&gt;Cancelled")+SUMIFS('Frontend'!$J$6:$J$205,'Frontend'!$F$6:$F$205,$C$4,'Frontend'!$E$6:$E$205,G33,'Frontend'!$C$6:$C$205,"&lt;&gt;Done",'Frontend'!$C$6:$C$205,"&lt;&gt;Cancelled"))</x:f>
      </x:c>
      <x:c r="J33" s="140" t="str">
        <x:f>IF(G33="","",COUNTIFS('Backend'!$F$6:$F$205,$C$4,'Backend'!$E$6:$E$205,G33,'Backend'!$C$6:$C$205,"Blocked")+COUNTIFS('Frontend'!$F$6:$F$205,$C$4,'Frontend'!$E$6:$E$205,G33,'Frontend'!$C$6:$C$205,"Blocked"))</x:f>
      </x:c>
      <x:c r="K33" s="140" t="str">
        <x:f>IF(G33="","",COUNTIFS('Backend'!$F$6:$F$205,$C$4,'Backend'!$E$6:$E$205,G33,'Backend'!$V$6:$V$205,"&gt;0",'Backend'!$C$6:$C$205,"&lt;&gt;Done")+COUNTIFS('Frontend'!$F$6:$F$205,$C$4,'Frontend'!$E$6:$E$205,G33,'Frontend'!$V$6:$V$205,"&gt;0",'Frontend'!$C$6:$C$205,"&lt;&gt;Done"))</x:f>
      </x:c>
      <x:c r="L33" s="140" t="str">
        <x:f>IF(G33="","",COUNTIFS('Backend'!$F$6:$F$205,$C$4,'Backend'!$E$6:$E$205,G33,'Backend'!$C$6:$C$205,"Done")+COUNTIFS('Frontend'!$F$6:$F$205,$C$4,'Frontend'!$E$6:$E$205,G33,'Frontend'!$C$6:$C$205,"Done"))</x:f>
      </x:c>
    </x:row>
  </x:sheetData>
  <x:mergeCells>
    <x:mergeCell ref="A1:N1"/>
    <x:mergeCell ref="A2:N2"/>
    <x:mergeCell ref="A12:E12"/>
    <x:mergeCell ref="G12:N12"/>
  </x:mergeCells>
  <x:conditionalFormatting sqref="B13:B19">
    <x:cfRule type="cellIs" dxfId="23" priority="1" operator="greaterThan">
      <x:formula>0</x:formula>
    </x:cfRule>
  </x:conditionalFormatting>
  <x:conditionalFormatting sqref="J14:K33">
    <x:cfRule type="cellIs" dxfId="24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8" hidden="0" customWidth="1"/>
    <x:col min="4" max="4" width="38" hidden="0" customWidth="1"/>
    <x:col min="5" max="5" width="14" hidden="0" customWidth="1"/>
    <x:col min="6" max="6" width="14" hidden="0" customWidth="1"/>
    <x:col min="7" max="7" width="10" hidden="0" customWidth="1"/>
    <x:col min="8" max="8" width="14" hidden="0" customWidth="1"/>
    <x:col min="9" max="9" width="18" hidden="0" customWidth="1"/>
    <x:col min="10" max="10" width="13" hidden="0" customWidth="1"/>
    <x:col min="11" max="11" width="14" hidden="0" customWidth="1"/>
    <x:col min="12" max="12" width="36" hidden="0" customWidth="1"/>
    <x:col min="13" max="13" width="18" hidden="0" customWidth="1"/>
    <x:col min="14" max="14" width="13" hidden="0" customWidth="1"/>
    <x:col min="15" max="15" width="14" hidden="0" customWidth="1"/>
  </x:cols>
  <x:sheetData>
    <x:row r="1" ht="32" customHeight="1">
      <x:c r="A1" s="3" t="str">
        <x:v>RAID — RỦI RO, GIẢ ĐỊNH, VẤN ĐỀ &amp; QUYẾT ĐỊNH</x:v>
      </x:c>
      <x:c r="B1" s="3" t="str">
        <x:v>RAID — RỦI RO, GIẢ ĐỊNH, VẤN ĐỀ &amp; QUYẾT ĐỊNH</x:v>
      </x:c>
      <x:c r="C1" s="3" t="str">
        <x:v>RAID — RỦI RO, GIẢ ĐỊNH, VẤN ĐỀ &amp; QUYẾT ĐỊNH</x:v>
      </x:c>
      <x:c r="D1" s="3" t="str">
        <x:v>RAID — RỦI RO, GIẢ ĐỊNH, VẤN ĐỀ &amp; QUYẾT ĐỊNH</x:v>
      </x:c>
      <x:c r="E1" s="3" t="str">
        <x:v>RAID — RỦI RO, GIẢ ĐỊNH, VẤN ĐỀ &amp; QUYẾT ĐỊNH</x:v>
      </x:c>
      <x:c r="F1" s="3" t="str">
        <x:v>RAID — RỦI RO, GIẢ ĐỊNH, VẤN ĐỀ &amp; QUYẾT ĐỊNH</x:v>
      </x:c>
      <x:c r="G1" s="3" t="str">
        <x:v>RAID — RỦI RO, GIẢ ĐỊNH, VẤN ĐỀ &amp; QUYẾT ĐỊNH</x:v>
      </x:c>
      <x:c r="H1" s="3" t="str">
        <x:v>RAID — RỦI RO, GIẢ ĐỊNH, VẤN ĐỀ &amp; QUYẾT ĐỊNH</x:v>
      </x:c>
      <x:c r="I1" s="3" t="str">
        <x:v>RAID — RỦI RO, GIẢ ĐỊNH, VẤN ĐỀ &amp; QUYẾT ĐỊNH</x:v>
      </x:c>
      <x:c r="J1" s="3" t="str">
        <x:v>RAID — RỦI RO, GIẢ ĐỊNH, VẤN ĐỀ &amp; QUYẾT ĐỊNH</x:v>
      </x:c>
      <x:c r="K1" s="3" t="str">
        <x:v>RAID — RỦI RO, GIẢ ĐỊNH, VẤN ĐỀ &amp; QUYẾT ĐỊNH</x:v>
      </x:c>
      <x:c r="L1" s="3" t="str">
        <x:v>RAID — RỦI RO, GIẢ ĐỊNH, VẤN ĐỀ &amp; QUYẾT ĐỊNH</x:v>
      </x:c>
      <x:c r="M1" s="3" t="str">
        <x:v>RAID — RỦI RO, GIẢ ĐỊNH, VẤN ĐỀ &amp; QUYẾT ĐỊNH</x:v>
      </x:c>
      <x:c r="N1" s="3" t="str">
        <x:v>RAID — RỦI RO, GIẢ ĐỊNH, VẤN ĐỀ &amp; QUYẾT ĐỊNH</x:v>
      </x:c>
      <x:c r="O1" s="3" t="str">
        <x:v>RAID — RỦI RO, GIẢ ĐỊNH, VẤN ĐỀ &amp; QUYẾT ĐỊNH</x:v>
      </x:c>
    </x:row>
    <x:row r="2" ht="28" customHeight="1">
      <x:c r="A2" s="7" t="str">
        <x:v>Ghi nhận các yếu tố ngoài task nhưng có thể ảnh hưởng delivery. Điểm = Xác suất × Ảnh hưởng; quá hạn và tuổi bản ghi tự tính.</x:v>
      </x:c>
      <x:c r="B2" s="7" t="str">
        <x:v>Ghi nhận các yếu tố ngoài task nhưng có thể ảnh hưởng delivery. Điểm = Xác suất × Ảnh hưởng; quá hạn và tuổi bản ghi tự tính.</x:v>
      </x:c>
      <x:c r="C2" s="7" t="str">
        <x:v>Ghi nhận các yếu tố ngoài task nhưng có thể ảnh hưởng delivery. Điểm = Xác suất × Ảnh hưởng; quá hạn và tuổi bản ghi tự tính.</x:v>
      </x:c>
      <x:c r="D2" s="7" t="str">
        <x:v>Ghi nhận các yếu tố ngoài task nhưng có thể ảnh hưởng delivery. Điểm = Xác suất × Ảnh hưởng; quá hạn và tuổi bản ghi tự tính.</x:v>
      </x:c>
      <x:c r="E2" s="7" t="str">
        <x:v>Ghi nhận các yếu tố ngoài task nhưng có thể ảnh hưởng delivery. Điểm = Xác suất × Ảnh hưởng; quá hạn và tuổi bản ghi tự tính.</x:v>
      </x:c>
      <x:c r="F2" s="7" t="str">
        <x:v>Ghi nhận các yếu tố ngoài task nhưng có thể ảnh hưởng delivery. Điểm = Xác suất × Ảnh hưởng; quá hạn và tuổi bản ghi tự tính.</x:v>
      </x:c>
      <x:c r="G2" s="7" t="str">
        <x:v>Ghi nhận các yếu tố ngoài task nhưng có thể ảnh hưởng delivery. Điểm = Xác suất × Ảnh hưởng; quá hạn và tuổi bản ghi tự tính.</x:v>
      </x:c>
      <x:c r="H2" s="7" t="str">
        <x:v>Ghi nhận các yếu tố ngoài task nhưng có thể ảnh hưởng delivery. Điểm = Xác suất × Ảnh hưởng; quá hạn và tuổi bản ghi tự tính.</x:v>
      </x:c>
      <x:c r="I2" s="7" t="str">
        <x:v>Ghi nhận các yếu tố ngoài task nhưng có thể ảnh hưởng delivery. Điểm = Xác suất × Ảnh hưởng; quá hạn và tuổi bản ghi tự tính.</x:v>
      </x:c>
      <x:c r="J2" s="7" t="str">
        <x:v>Ghi nhận các yếu tố ngoài task nhưng có thể ảnh hưởng delivery. Điểm = Xác suất × Ảnh hưởng; quá hạn và tuổi bản ghi tự tính.</x:v>
      </x:c>
      <x:c r="K2" s="7" t="str">
        <x:v>Ghi nhận các yếu tố ngoài task nhưng có thể ảnh hưởng delivery. Điểm = Xác suất × Ảnh hưởng; quá hạn và tuổi bản ghi tự tính.</x:v>
      </x:c>
      <x:c r="L2" s="7" t="str">
        <x:v>Ghi nhận các yếu tố ngoài task nhưng có thể ảnh hưởng delivery. Điểm = Xác suất × Ảnh hưởng; quá hạn và tuổi bản ghi tự tính.</x:v>
      </x:c>
      <x:c r="M2" s="7" t="str">
        <x:v>Ghi nhận các yếu tố ngoài task nhưng có thể ảnh hưởng delivery. Điểm = Xác suất × Ảnh hưởng; quá hạn và tuổi bản ghi tự tính.</x:v>
      </x:c>
      <x:c r="N2" s="7" t="str">
        <x:v>Ghi nhận các yếu tố ngoài task nhưng có thể ảnh hưởng delivery. Điểm = Xác suất × Ảnh hưởng; quá hạn và tuổi bản ghi tự tính.</x:v>
      </x:c>
      <x:c r="O2" s="7" t="str">
        <x:v>Ghi nhận các yếu tố ngoài task nhưng có thể ảnh hưởng delivery. Điểm = Xác suất × Ảnh hưởng; quá hạn và tuổi bản ghi tự tính.</x:v>
      </x:c>
    </x:row>
    <x:row r="5" ht="34" customHeight="1">
      <x:c r="A5" s="30" t="str">
        <x:v>RAID ID</x:v>
      </x:c>
      <x:c r="B5" s="31" t="str">
        <x:v>Loại</x:v>
      </x:c>
      <x:c r="C5" s="31" t="str">
        <x:v>Tiêu đề</x:v>
      </x:c>
      <x:c r="D5" s="31" t="str">
        <x:v>Mô tả</x:v>
      </x:c>
      <x:c r="E5" s="31" t="str">
        <x:v>Xác suất (1-5)</x:v>
      </x:c>
      <x:c r="F5" s="31" t="str">
        <x:v>Ảnh hưởng (1-5)</x:v>
      </x:c>
      <x:c r="G5" s="31" t="str">
        <x:v>Điểm</x:v>
      </x:c>
      <x:c r="H5" s="31" t="str">
        <x:v>Mức</x:v>
      </x:c>
      <x:c r="I5" s="31" t="str">
        <x:v>Owner</x:v>
      </x:c>
      <x:c r="J5" s="31" t="str">
        <x:v>Hạn xử lý</x:v>
      </x:c>
      <x:c r="K5" s="31" t="str">
        <x:v>Trạng thái</x:v>
      </x:c>
      <x:c r="L5" s="31" t="str">
        <x:v>Kế hoạch / Quyết định</x:v>
      </x:c>
      <x:c r="M5" s="31" t="str">
        <x:v>Task liên kết</x:v>
      </x:c>
      <x:c r="N5" s="31" t="str">
        <x:v>Ngày tạo</x:v>
      </x:c>
      <x:c r="O5" s="32" t="str">
        <x:v>Quá hạn (ngày)</x:v>
      </x:c>
    </x:row>
    <x:row r="6" ht="28" customHeight="1">
      <x:c r="A6" s="169" t="str">
        <x:v>DEMO-R-001</x:v>
      </x:c>
      <x:c r="B6" s="169" t="str">
        <x:v>Risk</x:v>
      </x:c>
      <x:c r="C6" s="178" t="str">
        <x:v>Chậm quyền truy cập message broker</x:v>
      </x:c>
      <x:c r="D6" s="178" t="str">
        <x:v>Có thể làm trễ retry queue.</x:v>
      </x:c>
      <x:c r="E6" s="169" t="n">
        <x:v>4</x:v>
      </x:c>
      <x:c r="F6" s="169" t="n">
        <x:v>4</x:v>
      </x:c>
      <x:c r="G6" s="170" t="n">
        <x:f>IF(OR(E6="",F6=""),"",E6*F6)</x:f>
        <x:v>16</x:v>
      </x:c>
      <x:c r="H6" s="170" t="str">
        <x:f>IF(G6="","",IF(G6&gt;=16,"Cao",IF(G6&gt;=8,"Trung bình","Thấp")))</x:f>
        <x:v>Cao</x:v>
      </x:c>
      <x:c r="I6" s="169" t="str">
        <x:v>Phạm Dũng</x:v>
      </x:c>
      <x:c r="J6" s="171" t="n">
        <x:v>46224</x:v>
      </x:c>
      <x:c r="K6" s="169" t="str">
        <x:v>Open</x:v>
      </x:c>
      <x:c r="L6" s="178" t="str">
        <x:v>Escalate OPS và chuẩn bị mock broker.</x:v>
      </x:c>
      <x:c r="M6" s="169" t="str">
        <x:v>DEMO-BE-004</x:v>
      </x:c>
      <x:c r="N6" s="171" t="n">
        <x:v>46218</x:v>
      </x:c>
      <x:c r="O6" s="170" t="n">
        <x:f>IF(A6="","",IF(OR(J6="",K6="Closed"),0,MAX(0,TODAY()-J6)))</x:f>
        <x:v>0</x:v>
      </x:c>
    </x:row>
    <x:row r="7" ht="28" customHeight="1">
      <x:c r="A7" s="172" t="str">
        <x:v>DEMO-D-001</x:v>
      </x:c>
      <x:c r="B7" s="172" t="str">
        <x:v>Decision</x:v>
      </x:c>
      <x:c r="C7" s="179" t="str">
        <x:v>Mapping status badge</x:v>
      </x:c>
      <x:c r="D7" s="179" t="str">
        <x:v>Chọn mapping màu theo ERG MUI status palette.</x:v>
      </x:c>
      <x:c r="E7" s="172" t="n">
        <x:v>1</x:v>
      </x:c>
      <x:c r="F7" s="172" t="n">
        <x:v>3</x:v>
      </x:c>
      <x:c r="G7" s="173" t="n">
        <x:f>IF(OR(E7="",F7=""),"",E7*F7)</x:f>
        <x:v>3</x:v>
      </x:c>
      <x:c r="H7" s="173" t="str">
        <x:f>IF(G7="","",IF(G7&gt;=16,"Cao",IF(G7&gt;=8,"Trung bình","Thấp")))</x:f>
        <x:v>Thấp</x:v>
      </x:c>
      <x:c r="I7" s="172" t="str">
        <x:v>PO</x:v>
      </x:c>
      <x:c r="J7" s="174" t="n">
        <x:v>46223</x:v>
      </x:c>
      <x:c r="K7" s="172" t="str">
        <x:v>Open</x:v>
      </x:c>
      <x:c r="L7" s="179" t="str">
        <x:v>PO xác nhận mapping trước code freeze.</x:v>
      </x:c>
      <x:c r="M7" s="172" t="str">
        <x:v>DEMO-FE-004</x:v>
      </x:c>
      <x:c r="N7" s="174" t="n">
        <x:v>46220</x:v>
      </x:c>
      <x:c r="O7" s="173" t="n">
        <x:f>IF(A7="","",IF(OR(J7="",K7="Closed"),0,MAX(0,TODAY()-J7)))</x:f>
        <x:v>0</x:v>
      </x:c>
    </x:row>
    <x:row r="8" ht="28" customHeight="1">
      <x:c r="A8" s="172"/>
      <x:c r="B8" s="172"/>
      <x:c r="C8" s="179"/>
      <x:c r="D8" s="179"/>
      <x:c r="E8" s="172"/>
      <x:c r="F8" s="172"/>
      <x:c r="G8" s="173" t="str">
        <x:f>IF(OR(E8="",F8=""),"",E8*F8)</x:f>
      </x:c>
      <x:c r="H8" s="173" t="str">
        <x:f>IF(G8="","",IF(G8&gt;=16,"Cao",IF(G8&gt;=8,"Trung bình","Thấp")))</x:f>
      </x:c>
      <x:c r="I8" s="172"/>
      <x:c r="J8" s="174"/>
      <x:c r="K8" s="172"/>
      <x:c r="L8" s="179"/>
      <x:c r="M8" s="172"/>
      <x:c r="N8" s="174"/>
      <x:c r="O8" s="173" t="str">
        <x:f>IF(A8="","",IF(OR(J8="",K8="Closed"),0,MAX(0,TODAY()-J8)))</x:f>
      </x:c>
    </x:row>
    <x:row r="9" ht="28" customHeight="1">
      <x:c r="A9" s="172"/>
      <x:c r="B9" s="172"/>
      <x:c r="C9" s="179"/>
      <x:c r="D9" s="179"/>
      <x:c r="E9" s="172"/>
      <x:c r="F9" s="172"/>
      <x:c r="G9" s="173" t="str">
        <x:f>IF(OR(E9="",F9=""),"",E9*F9)</x:f>
      </x:c>
      <x:c r="H9" s="173" t="str">
        <x:f>IF(G9="","",IF(G9&gt;=16,"Cao",IF(G9&gt;=8,"Trung bình","Thấp")))</x:f>
      </x:c>
      <x:c r="I9" s="172"/>
      <x:c r="J9" s="174"/>
      <x:c r="K9" s="172"/>
      <x:c r="L9" s="179"/>
      <x:c r="M9" s="172"/>
      <x:c r="N9" s="174"/>
      <x:c r="O9" s="173" t="str">
        <x:f>IF(A9="","",IF(OR(J9="",K9="Closed"),0,MAX(0,TODAY()-J9)))</x:f>
      </x:c>
    </x:row>
    <x:row r="10" ht="28" customHeight="1">
      <x:c r="A10" s="172"/>
      <x:c r="B10" s="172"/>
      <x:c r="C10" s="179"/>
      <x:c r="D10" s="179"/>
      <x:c r="E10" s="172"/>
      <x:c r="F10" s="172"/>
      <x:c r="G10" s="173" t="str">
        <x:f>IF(OR(E10="",F10=""),"",E10*F10)</x:f>
      </x:c>
      <x:c r="H10" s="173" t="str">
        <x:f>IF(G10="","",IF(G10&gt;=16,"Cao",IF(G10&gt;=8,"Trung bình","Thấp")))</x:f>
      </x:c>
      <x:c r="I10" s="172"/>
      <x:c r="J10" s="174"/>
      <x:c r="K10" s="172"/>
      <x:c r="L10" s="179"/>
      <x:c r="M10" s="172"/>
      <x:c r="N10" s="174"/>
      <x:c r="O10" s="173" t="str">
        <x:f>IF(A10="","",IF(OR(J10="",K10="Closed"),0,MAX(0,TODAY()-J10)))</x:f>
      </x:c>
    </x:row>
    <x:row r="11" ht="28" customHeight="1">
      <x:c r="A11" s="172"/>
      <x:c r="B11" s="172"/>
      <x:c r="C11" s="179"/>
      <x:c r="D11" s="179"/>
      <x:c r="E11" s="172"/>
      <x:c r="F11" s="172"/>
      <x:c r="G11" s="173" t="str">
        <x:f>IF(OR(E11="",F11=""),"",E11*F11)</x:f>
      </x:c>
      <x:c r="H11" s="173" t="str">
        <x:f>IF(G11="","",IF(G11&gt;=16,"Cao",IF(G11&gt;=8,"Trung bình","Thấp")))</x:f>
      </x:c>
      <x:c r="I11" s="172"/>
      <x:c r="J11" s="174"/>
      <x:c r="K11" s="172"/>
      <x:c r="L11" s="179"/>
      <x:c r="M11" s="172"/>
      <x:c r="N11" s="174"/>
      <x:c r="O11" s="173" t="str">
        <x:f>IF(A11="","",IF(OR(J11="",K11="Closed"),0,MAX(0,TODAY()-J11)))</x:f>
      </x:c>
    </x:row>
    <x:row r="12" ht="28" customHeight="1">
      <x:c r="A12" s="172"/>
      <x:c r="B12" s="172"/>
      <x:c r="C12" s="179"/>
      <x:c r="D12" s="179"/>
      <x:c r="E12" s="172"/>
      <x:c r="F12" s="172"/>
      <x:c r="G12" s="173" t="str">
        <x:f>IF(OR(E12="",F12=""),"",E12*F12)</x:f>
      </x:c>
      <x:c r="H12" s="173" t="str">
        <x:f>IF(G12="","",IF(G12&gt;=16,"Cao",IF(G12&gt;=8,"Trung bình","Thấp")))</x:f>
      </x:c>
      <x:c r="I12" s="172"/>
      <x:c r="J12" s="174"/>
      <x:c r="K12" s="172"/>
      <x:c r="L12" s="179"/>
      <x:c r="M12" s="172"/>
      <x:c r="N12" s="174"/>
      <x:c r="O12" s="173" t="str">
        <x:f>IF(A12="","",IF(OR(J12="",K12="Closed"),0,MAX(0,TODAY()-J12)))</x:f>
      </x:c>
    </x:row>
    <x:row r="13" ht="28" customHeight="1">
      <x:c r="A13" s="172"/>
      <x:c r="B13" s="172"/>
      <x:c r="C13" s="179"/>
      <x:c r="D13" s="179"/>
      <x:c r="E13" s="172"/>
      <x:c r="F13" s="172"/>
      <x:c r="G13" s="173" t="str">
        <x:f>IF(OR(E13="",F13=""),"",E13*F13)</x:f>
      </x:c>
      <x:c r="H13" s="173" t="str">
        <x:f>IF(G13="","",IF(G13&gt;=16,"Cao",IF(G13&gt;=8,"Trung bình","Thấp")))</x:f>
      </x:c>
      <x:c r="I13" s="172"/>
      <x:c r="J13" s="174"/>
      <x:c r="K13" s="172"/>
      <x:c r="L13" s="179"/>
      <x:c r="M13" s="172"/>
      <x:c r="N13" s="174"/>
      <x:c r="O13" s="173" t="str">
        <x:f>IF(A13="","",IF(OR(J13="",K13="Closed"),0,MAX(0,TODAY()-J13)))</x:f>
      </x:c>
    </x:row>
    <x:row r="14" ht="28" customHeight="1">
      <x:c r="A14" s="172"/>
      <x:c r="B14" s="172"/>
      <x:c r="C14" s="179"/>
      <x:c r="D14" s="179"/>
      <x:c r="E14" s="172"/>
      <x:c r="F14" s="172"/>
      <x:c r="G14" s="173" t="str">
        <x:f>IF(OR(E14="",F14=""),"",E14*F14)</x:f>
      </x:c>
      <x:c r="H14" s="173" t="str">
        <x:f>IF(G14="","",IF(G14&gt;=16,"Cao",IF(G14&gt;=8,"Trung bình","Thấp")))</x:f>
      </x:c>
      <x:c r="I14" s="172"/>
      <x:c r="J14" s="174"/>
      <x:c r="K14" s="172"/>
      <x:c r="L14" s="179"/>
      <x:c r="M14" s="172"/>
      <x:c r="N14" s="174"/>
      <x:c r="O14" s="173" t="str">
        <x:f>IF(A14="","",IF(OR(J14="",K14="Closed"),0,MAX(0,TODAY()-J14)))</x:f>
      </x:c>
    </x:row>
    <x:row r="15" ht="28" customHeight="1">
      <x:c r="A15" s="172"/>
      <x:c r="B15" s="172"/>
      <x:c r="C15" s="179"/>
      <x:c r="D15" s="179"/>
      <x:c r="E15" s="172"/>
      <x:c r="F15" s="172"/>
      <x:c r="G15" s="173" t="str">
        <x:f>IF(OR(E15="",F15=""),"",E15*F15)</x:f>
      </x:c>
      <x:c r="H15" s="173" t="str">
        <x:f>IF(G15="","",IF(G15&gt;=16,"Cao",IF(G15&gt;=8,"Trung bình","Thấp")))</x:f>
      </x:c>
      <x:c r="I15" s="172"/>
      <x:c r="J15" s="174"/>
      <x:c r="K15" s="172"/>
      <x:c r="L15" s="179"/>
      <x:c r="M15" s="172"/>
      <x:c r="N15" s="174"/>
      <x:c r="O15" s="173" t="str">
        <x:f>IF(A15="","",IF(OR(J15="",K15="Closed"),0,MAX(0,TODAY()-J15)))</x:f>
      </x:c>
    </x:row>
    <x:row r="16" ht="28" customHeight="1">
      <x:c r="A16" s="172"/>
      <x:c r="B16" s="172"/>
      <x:c r="C16" s="179"/>
      <x:c r="D16" s="179"/>
      <x:c r="E16" s="172"/>
      <x:c r="F16" s="172"/>
      <x:c r="G16" s="173" t="str">
        <x:f>IF(OR(E16="",F16=""),"",E16*F16)</x:f>
      </x:c>
      <x:c r="H16" s="173" t="str">
        <x:f>IF(G16="","",IF(G16&gt;=16,"Cao",IF(G16&gt;=8,"Trung bình","Thấp")))</x:f>
      </x:c>
      <x:c r="I16" s="172"/>
      <x:c r="J16" s="174"/>
      <x:c r="K16" s="172"/>
      <x:c r="L16" s="179"/>
      <x:c r="M16" s="172"/>
      <x:c r="N16" s="174"/>
      <x:c r="O16" s="173" t="str">
        <x:f>IF(A16="","",IF(OR(J16="",K16="Closed"),0,MAX(0,TODAY()-J16)))</x:f>
      </x:c>
    </x:row>
    <x:row r="17" ht="28" customHeight="1">
      <x:c r="A17" s="172"/>
      <x:c r="B17" s="172"/>
      <x:c r="C17" s="179"/>
      <x:c r="D17" s="179"/>
      <x:c r="E17" s="172"/>
      <x:c r="F17" s="172"/>
      <x:c r="G17" s="173" t="str">
        <x:f>IF(OR(E17="",F17=""),"",E17*F17)</x:f>
      </x:c>
      <x:c r="H17" s="173" t="str">
        <x:f>IF(G17="","",IF(G17&gt;=16,"Cao",IF(G17&gt;=8,"Trung bình","Thấp")))</x:f>
      </x:c>
      <x:c r="I17" s="172"/>
      <x:c r="J17" s="174"/>
      <x:c r="K17" s="172"/>
      <x:c r="L17" s="179"/>
      <x:c r="M17" s="172"/>
      <x:c r="N17" s="174"/>
      <x:c r="O17" s="173" t="str">
        <x:f>IF(A17="","",IF(OR(J17="",K17="Closed"),0,MAX(0,TODAY()-J17)))</x:f>
      </x:c>
    </x:row>
    <x:row r="18" ht="28" customHeight="1">
      <x:c r="A18" s="172"/>
      <x:c r="B18" s="172"/>
      <x:c r="C18" s="179"/>
      <x:c r="D18" s="179"/>
      <x:c r="E18" s="172"/>
      <x:c r="F18" s="172"/>
      <x:c r="G18" s="173" t="str">
        <x:f>IF(OR(E18="",F18=""),"",E18*F18)</x:f>
      </x:c>
      <x:c r="H18" s="173" t="str">
        <x:f>IF(G18="","",IF(G18&gt;=16,"Cao",IF(G18&gt;=8,"Trung bình","Thấp")))</x:f>
      </x:c>
      <x:c r="I18" s="172"/>
      <x:c r="J18" s="174"/>
      <x:c r="K18" s="172"/>
      <x:c r="L18" s="179"/>
      <x:c r="M18" s="172"/>
      <x:c r="N18" s="174"/>
      <x:c r="O18" s="173" t="str">
        <x:f>IF(A18="","",IF(OR(J18="",K18="Closed"),0,MAX(0,TODAY()-J18)))</x:f>
      </x:c>
    </x:row>
    <x:row r="19" ht="28" customHeight="1">
      <x:c r="A19" s="172"/>
      <x:c r="B19" s="172"/>
      <x:c r="C19" s="179"/>
      <x:c r="D19" s="179"/>
      <x:c r="E19" s="172"/>
      <x:c r="F19" s="172"/>
      <x:c r="G19" s="173" t="str">
        <x:f>IF(OR(E19="",F19=""),"",E19*F19)</x:f>
      </x:c>
      <x:c r="H19" s="173" t="str">
        <x:f>IF(G19="","",IF(G19&gt;=16,"Cao",IF(G19&gt;=8,"Trung bình","Thấp")))</x:f>
      </x:c>
      <x:c r="I19" s="172"/>
      <x:c r="J19" s="174"/>
      <x:c r="K19" s="172"/>
      <x:c r="L19" s="179"/>
      <x:c r="M19" s="172"/>
      <x:c r="N19" s="174"/>
      <x:c r="O19" s="173" t="str">
        <x:f>IF(A19="","",IF(OR(J19="",K19="Closed"),0,MAX(0,TODAY()-J19)))</x:f>
      </x:c>
    </x:row>
    <x:row r="20" ht="28" customHeight="1">
      <x:c r="A20" s="172"/>
      <x:c r="B20" s="172"/>
      <x:c r="C20" s="179"/>
      <x:c r="D20" s="179"/>
      <x:c r="E20" s="172"/>
      <x:c r="F20" s="172"/>
      <x:c r="G20" s="173" t="str">
        <x:f>IF(OR(E20="",F20=""),"",E20*F20)</x:f>
      </x:c>
      <x:c r="H20" s="173" t="str">
        <x:f>IF(G20="","",IF(G20&gt;=16,"Cao",IF(G20&gt;=8,"Trung bình","Thấp")))</x:f>
      </x:c>
      <x:c r="I20" s="172"/>
      <x:c r="J20" s="174"/>
      <x:c r="K20" s="172"/>
      <x:c r="L20" s="179"/>
      <x:c r="M20" s="172"/>
      <x:c r="N20" s="174"/>
      <x:c r="O20" s="173" t="str">
        <x:f>IF(A20="","",IF(OR(J20="",K20="Closed"),0,MAX(0,TODAY()-J20)))</x:f>
      </x:c>
    </x:row>
    <x:row r="21" ht="28" customHeight="1">
      <x:c r="A21" s="172"/>
      <x:c r="B21" s="172"/>
      <x:c r="C21" s="179"/>
      <x:c r="D21" s="179"/>
      <x:c r="E21" s="172"/>
      <x:c r="F21" s="172"/>
      <x:c r="G21" s="173" t="str">
        <x:f>IF(OR(E21="",F21=""),"",E21*F21)</x:f>
      </x:c>
      <x:c r="H21" s="173" t="str">
        <x:f>IF(G21="","",IF(G21&gt;=16,"Cao",IF(G21&gt;=8,"Trung bình","Thấp")))</x:f>
      </x:c>
      <x:c r="I21" s="172"/>
      <x:c r="J21" s="174"/>
      <x:c r="K21" s="172"/>
      <x:c r="L21" s="179"/>
      <x:c r="M21" s="172"/>
      <x:c r="N21" s="174"/>
      <x:c r="O21" s="173" t="str">
        <x:f>IF(A21="","",IF(OR(J21="",K21="Closed"),0,MAX(0,TODAY()-J21)))</x:f>
      </x:c>
    </x:row>
    <x:row r="22" ht="28" customHeight="1">
      <x:c r="A22" s="172"/>
      <x:c r="B22" s="172"/>
      <x:c r="C22" s="179"/>
      <x:c r="D22" s="179"/>
      <x:c r="E22" s="172"/>
      <x:c r="F22" s="172"/>
      <x:c r="G22" s="173" t="str">
        <x:f>IF(OR(E22="",F22=""),"",E22*F22)</x:f>
      </x:c>
      <x:c r="H22" s="173" t="str">
        <x:f>IF(G22="","",IF(G22&gt;=16,"Cao",IF(G22&gt;=8,"Trung bình","Thấp")))</x:f>
      </x:c>
      <x:c r="I22" s="172"/>
      <x:c r="J22" s="174"/>
      <x:c r="K22" s="172"/>
      <x:c r="L22" s="179"/>
      <x:c r="M22" s="172"/>
      <x:c r="N22" s="174"/>
      <x:c r="O22" s="173" t="str">
        <x:f>IF(A22="","",IF(OR(J22="",K22="Closed"),0,MAX(0,TODAY()-J22)))</x:f>
      </x:c>
    </x:row>
    <x:row r="23" ht="28" customHeight="1">
      <x:c r="A23" s="172"/>
      <x:c r="B23" s="172"/>
      <x:c r="C23" s="179"/>
      <x:c r="D23" s="179"/>
      <x:c r="E23" s="172"/>
      <x:c r="F23" s="172"/>
      <x:c r="G23" s="173" t="str">
        <x:f>IF(OR(E23="",F23=""),"",E23*F23)</x:f>
      </x:c>
      <x:c r="H23" s="173" t="str">
        <x:f>IF(G23="","",IF(G23&gt;=16,"Cao",IF(G23&gt;=8,"Trung bình","Thấp")))</x:f>
      </x:c>
      <x:c r="I23" s="172"/>
      <x:c r="J23" s="174"/>
      <x:c r="K23" s="172"/>
      <x:c r="L23" s="179"/>
      <x:c r="M23" s="172"/>
      <x:c r="N23" s="174"/>
      <x:c r="O23" s="173" t="str">
        <x:f>IF(A23="","",IF(OR(J23="",K23="Closed"),0,MAX(0,TODAY()-J23)))</x:f>
      </x:c>
    </x:row>
    <x:row r="24" ht="28" customHeight="1">
      <x:c r="A24" s="172"/>
      <x:c r="B24" s="172"/>
      <x:c r="C24" s="179"/>
      <x:c r="D24" s="179"/>
      <x:c r="E24" s="172"/>
      <x:c r="F24" s="172"/>
      <x:c r="G24" s="173" t="str">
        <x:f>IF(OR(E24="",F24=""),"",E24*F24)</x:f>
      </x:c>
      <x:c r="H24" s="173" t="str">
        <x:f>IF(G24="","",IF(G24&gt;=16,"Cao",IF(G24&gt;=8,"Trung bình","Thấp")))</x:f>
      </x:c>
      <x:c r="I24" s="172"/>
      <x:c r="J24" s="174"/>
      <x:c r="K24" s="172"/>
      <x:c r="L24" s="179"/>
      <x:c r="M24" s="172"/>
      <x:c r="N24" s="174"/>
      <x:c r="O24" s="173" t="str">
        <x:f>IF(A24="","",IF(OR(J24="",K24="Closed"),0,MAX(0,TODAY()-J24)))</x:f>
      </x:c>
    </x:row>
    <x:row r="25" ht="28" customHeight="1">
      <x:c r="A25" s="172"/>
      <x:c r="B25" s="172"/>
      <x:c r="C25" s="179"/>
      <x:c r="D25" s="179"/>
      <x:c r="E25" s="172"/>
      <x:c r="F25" s="172"/>
      <x:c r="G25" s="173" t="str">
        <x:f>IF(OR(E25="",F25=""),"",E25*F25)</x:f>
      </x:c>
      <x:c r="H25" s="173" t="str">
        <x:f>IF(G25="","",IF(G25&gt;=16,"Cao",IF(G25&gt;=8,"Trung bình","Thấp")))</x:f>
      </x:c>
      <x:c r="I25" s="172"/>
      <x:c r="J25" s="174"/>
      <x:c r="K25" s="172"/>
      <x:c r="L25" s="179"/>
      <x:c r="M25" s="172"/>
      <x:c r="N25" s="174"/>
      <x:c r="O25" s="173" t="str">
        <x:f>IF(A25="","",IF(OR(J25="",K25="Closed"),0,MAX(0,TODAY()-J25)))</x:f>
      </x:c>
    </x:row>
    <x:row r="26" ht="28" customHeight="1">
      <x:c r="A26" s="172"/>
      <x:c r="B26" s="172"/>
      <x:c r="C26" s="179"/>
      <x:c r="D26" s="179"/>
      <x:c r="E26" s="172"/>
      <x:c r="F26" s="172"/>
      <x:c r="G26" s="173" t="str">
        <x:f>IF(OR(E26="",F26=""),"",E26*F26)</x:f>
      </x:c>
      <x:c r="H26" s="173" t="str">
        <x:f>IF(G26="","",IF(G26&gt;=16,"Cao",IF(G26&gt;=8,"Trung bình","Thấp")))</x:f>
      </x:c>
      <x:c r="I26" s="172"/>
      <x:c r="J26" s="174"/>
      <x:c r="K26" s="172"/>
      <x:c r="L26" s="179"/>
      <x:c r="M26" s="172"/>
      <x:c r="N26" s="174"/>
      <x:c r="O26" s="173" t="str">
        <x:f>IF(A26="","",IF(OR(J26="",K26="Closed"),0,MAX(0,TODAY()-J26)))</x:f>
      </x:c>
    </x:row>
    <x:row r="27" ht="28" customHeight="1">
      <x:c r="A27" s="172"/>
      <x:c r="B27" s="172"/>
      <x:c r="C27" s="179"/>
      <x:c r="D27" s="179"/>
      <x:c r="E27" s="172"/>
      <x:c r="F27" s="172"/>
      <x:c r="G27" s="173" t="str">
        <x:f>IF(OR(E27="",F27=""),"",E27*F27)</x:f>
      </x:c>
      <x:c r="H27" s="173" t="str">
        <x:f>IF(G27="","",IF(G27&gt;=16,"Cao",IF(G27&gt;=8,"Trung bình","Thấp")))</x:f>
      </x:c>
      <x:c r="I27" s="172"/>
      <x:c r="J27" s="174"/>
      <x:c r="K27" s="172"/>
      <x:c r="L27" s="179"/>
      <x:c r="M27" s="172"/>
      <x:c r="N27" s="174"/>
      <x:c r="O27" s="173" t="str">
        <x:f>IF(A27="","",IF(OR(J27="",K27="Closed"),0,MAX(0,TODAY()-J27)))</x:f>
      </x:c>
    </x:row>
    <x:row r="28" ht="28" customHeight="1">
      <x:c r="A28" s="172"/>
      <x:c r="B28" s="172"/>
      <x:c r="C28" s="179"/>
      <x:c r="D28" s="179"/>
      <x:c r="E28" s="172"/>
      <x:c r="F28" s="172"/>
      <x:c r="G28" s="173" t="str">
        <x:f>IF(OR(E28="",F28=""),"",E28*F28)</x:f>
      </x:c>
      <x:c r="H28" s="173" t="str">
        <x:f>IF(G28="","",IF(G28&gt;=16,"Cao",IF(G28&gt;=8,"Trung bình","Thấp")))</x:f>
      </x:c>
      <x:c r="I28" s="172"/>
      <x:c r="J28" s="174"/>
      <x:c r="K28" s="172"/>
      <x:c r="L28" s="179"/>
      <x:c r="M28" s="172"/>
      <x:c r="N28" s="174"/>
      <x:c r="O28" s="173" t="str">
        <x:f>IF(A28="","",IF(OR(J28="",K28="Closed"),0,MAX(0,TODAY()-J28)))</x:f>
      </x:c>
    </x:row>
    <x:row r="29" ht="28" customHeight="1">
      <x:c r="A29" s="172"/>
      <x:c r="B29" s="172"/>
      <x:c r="C29" s="179"/>
      <x:c r="D29" s="179"/>
      <x:c r="E29" s="172"/>
      <x:c r="F29" s="172"/>
      <x:c r="G29" s="173" t="str">
        <x:f>IF(OR(E29="",F29=""),"",E29*F29)</x:f>
      </x:c>
      <x:c r="H29" s="173" t="str">
        <x:f>IF(G29="","",IF(G29&gt;=16,"Cao",IF(G29&gt;=8,"Trung bình","Thấp")))</x:f>
      </x:c>
      <x:c r="I29" s="172"/>
      <x:c r="J29" s="174"/>
      <x:c r="K29" s="172"/>
      <x:c r="L29" s="179"/>
      <x:c r="M29" s="172"/>
      <x:c r="N29" s="174"/>
      <x:c r="O29" s="173" t="str">
        <x:f>IF(A29="","",IF(OR(J29="",K29="Closed"),0,MAX(0,TODAY()-J29)))</x:f>
      </x:c>
    </x:row>
    <x:row r="30" ht="28" customHeight="1">
      <x:c r="A30" s="172"/>
      <x:c r="B30" s="172"/>
      <x:c r="C30" s="179"/>
      <x:c r="D30" s="179"/>
      <x:c r="E30" s="172"/>
      <x:c r="F30" s="172"/>
      <x:c r="G30" s="173" t="str">
        <x:f>IF(OR(E30="",F30=""),"",E30*F30)</x:f>
      </x:c>
      <x:c r="H30" s="173" t="str">
        <x:f>IF(G30="","",IF(G30&gt;=16,"Cao",IF(G30&gt;=8,"Trung bình","Thấp")))</x:f>
      </x:c>
      <x:c r="I30" s="172"/>
      <x:c r="J30" s="174"/>
      <x:c r="K30" s="172"/>
      <x:c r="L30" s="179"/>
      <x:c r="M30" s="172"/>
      <x:c r="N30" s="174"/>
      <x:c r="O30" s="173" t="str">
        <x:f>IF(A30="","",IF(OR(J30="",K30="Closed"),0,MAX(0,TODAY()-J30)))</x:f>
      </x:c>
    </x:row>
    <x:row r="31" ht="28" customHeight="1">
      <x:c r="A31" s="172"/>
      <x:c r="B31" s="172"/>
      <x:c r="C31" s="179"/>
      <x:c r="D31" s="179"/>
      <x:c r="E31" s="172"/>
      <x:c r="F31" s="172"/>
      <x:c r="G31" s="173" t="str">
        <x:f>IF(OR(E31="",F31=""),"",E31*F31)</x:f>
      </x:c>
      <x:c r="H31" s="173" t="str">
        <x:f>IF(G31="","",IF(G31&gt;=16,"Cao",IF(G31&gt;=8,"Trung bình","Thấp")))</x:f>
      </x:c>
      <x:c r="I31" s="172"/>
      <x:c r="J31" s="174"/>
      <x:c r="K31" s="172"/>
      <x:c r="L31" s="179"/>
      <x:c r="M31" s="172"/>
      <x:c r="N31" s="174"/>
      <x:c r="O31" s="173" t="str">
        <x:f>IF(A31="","",IF(OR(J31="",K31="Closed"),0,MAX(0,TODAY()-J31)))</x:f>
      </x:c>
    </x:row>
    <x:row r="32" ht="28" customHeight="1">
      <x:c r="A32" s="172"/>
      <x:c r="B32" s="172"/>
      <x:c r="C32" s="179"/>
      <x:c r="D32" s="179"/>
      <x:c r="E32" s="172"/>
      <x:c r="F32" s="172"/>
      <x:c r="G32" s="173" t="str">
        <x:f>IF(OR(E32="",F32=""),"",E32*F32)</x:f>
      </x:c>
      <x:c r="H32" s="173" t="str">
        <x:f>IF(G32="","",IF(G32&gt;=16,"Cao",IF(G32&gt;=8,"Trung bình","Thấp")))</x:f>
      </x:c>
      <x:c r="I32" s="172"/>
      <x:c r="J32" s="174"/>
      <x:c r="K32" s="172"/>
      <x:c r="L32" s="179"/>
      <x:c r="M32" s="172"/>
      <x:c r="N32" s="174"/>
      <x:c r="O32" s="173" t="str">
        <x:f>IF(A32="","",IF(OR(J32="",K32="Closed"),0,MAX(0,TODAY()-J32)))</x:f>
      </x:c>
    </x:row>
    <x:row r="33" ht="28" customHeight="1">
      <x:c r="A33" s="172"/>
      <x:c r="B33" s="172"/>
      <x:c r="C33" s="179"/>
      <x:c r="D33" s="179"/>
      <x:c r="E33" s="172"/>
      <x:c r="F33" s="172"/>
      <x:c r="G33" s="173" t="str">
        <x:f>IF(OR(E33="",F33=""),"",E33*F33)</x:f>
      </x:c>
      <x:c r="H33" s="173" t="str">
        <x:f>IF(G33="","",IF(G33&gt;=16,"Cao",IF(G33&gt;=8,"Trung bình","Thấp")))</x:f>
      </x:c>
      <x:c r="I33" s="172"/>
      <x:c r="J33" s="174"/>
      <x:c r="K33" s="172"/>
      <x:c r="L33" s="179"/>
      <x:c r="M33" s="172"/>
      <x:c r="N33" s="174"/>
      <x:c r="O33" s="173" t="str">
        <x:f>IF(A33="","",IF(OR(J33="",K33="Closed"),0,MAX(0,TODAY()-J33)))</x:f>
      </x:c>
    </x:row>
    <x:row r="34" ht="28" customHeight="1">
      <x:c r="A34" s="172"/>
      <x:c r="B34" s="172"/>
      <x:c r="C34" s="179"/>
      <x:c r="D34" s="179"/>
      <x:c r="E34" s="172"/>
      <x:c r="F34" s="172"/>
      <x:c r="G34" s="173" t="str">
        <x:f>IF(OR(E34="",F34=""),"",E34*F34)</x:f>
      </x:c>
      <x:c r="H34" s="173" t="str">
        <x:f>IF(G34="","",IF(G34&gt;=16,"Cao",IF(G34&gt;=8,"Trung bình","Thấp")))</x:f>
      </x:c>
      <x:c r="I34" s="172"/>
      <x:c r="J34" s="174"/>
      <x:c r="K34" s="172"/>
      <x:c r="L34" s="179"/>
      <x:c r="M34" s="172"/>
      <x:c r="N34" s="174"/>
      <x:c r="O34" s="173" t="str">
        <x:f>IF(A34="","",IF(OR(J34="",K34="Closed"),0,MAX(0,TODAY()-J34)))</x:f>
      </x:c>
    </x:row>
    <x:row r="35" ht="28" customHeight="1">
      <x:c r="A35" s="172"/>
      <x:c r="B35" s="172"/>
      <x:c r="C35" s="179"/>
      <x:c r="D35" s="179"/>
      <x:c r="E35" s="172"/>
      <x:c r="F35" s="172"/>
      <x:c r="G35" s="173" t="str">
        <x:f>IF(OR(E35="",F35=""),"",E35*F35)</x:f>
      </x:c>
      <x:c r="H35" s="173" t="str">
        <x:f>IF(G35="","",IF(G35&gt;=16,"Cao",IF(G35&gt;=8,"Trung bình","Thấp")))</x:f>
      </x:c>
      <x:c r="I35" s="172"/>
      <x:c r="J35" s="174"/>
      <x:c r="K35" s="172"/>
      <x:c r="L35" s="179"/>
      <x:c r="M35" s="172"/>
      <x:c r="N35" s="174"/>
      <x:c r="O35" s="173" t="str">
        <x:f>IF(A35="","",IF(OR(J35="",K35="Closed"),0,MAX(0,TODAY()-J35)))</x:f>
      </x:c>
    </x:row>
    <x:row r="36" ht="28" customHeight="1">
      <x:c r="A36" s="172"/>
      <x:c r="B36" s="172"/>
      <x:c r="C36" s="179"/>
      <x:c r="D36" s="179"/>
      <x:c r="E36" s="172"/>
      <x:c r="F36" s="172"/>
      <x:c r="G36" s="173" t="str">
        <x:f>IF(OR(E36="",F36=""),"",E36*F36)</x:f>
      </x:c>
      <x:c r="H36" s="173" t="str">
        <x:f>IF(G36="","",IF(G36&gt;=16,"Cao",IF(G36&gt;=8,"Trung bình","Thấp")))</x:f>
      </x:c>
      <x:c r="I36" s="172"/>
      <x:c r="J36" s="174"/>
      <x:c r="K36" s="172"/>
      <x:c r="L36" s="179"/>
      <x:c r="M36" s="172"/>
      <x:c r="N36" s="174"/>
      <x:c r="O36" s="173" t="str">
        <x:f>IF(A36="","",IF(OR(J36="",K36="Closed"),0,MAX(0,TODAY()-J36)))</x:f>
      </x:c>
    </x:row>
    <x:row r="37" ht="28" customHeight="1">
      <x:c r="A37" s="172"/>
      <x:c r="B37" s="172"/>
      <x:c r="C37" s="179"/>
      <x:c r="D37" s="179"/>
      <x:c r="E37" s="172"/>
      <x:c r="F37" s="172"/>
      <x:c r="G37" s="173" t="str">
        <x:f>IF(OR(E37="",F37=""),"",E37*F37)</x:f>
      </x:c>
      <x:c r="H37" s="173" t="str">
        <x:f>IF(G37="","",IF(G37&gt;=16,"Cao",IF(G37&gt;=8,"Trung bình","Thấp")))</x:f>
      </x:c>
      <x:c r="I37" s="172"/>
      <x:c r="J37" s="174"/>
      <x:c r="K37" s="172"/>
      <x:c r="L37" s="179"/>
      <x:c r="M37" s="172"/>
      <x:c r="N37" s="174"/>
      <x:c r="O37" s="173" t="str">
        <x:f>IF(A37="","",IF(OR(J37="",K37="Closed"),0,MAX(0,TODAY()-J37)))</x:f>
      </x:c>
    </x:row>
    <x:row r="38" ht="28" customHeight="1">
      <x:c r="A38" s="172"/>
      <x:c r="B38" s="172"/>
      <x:c r="C38" s="179"/>
      <x:c r="D38" s="179"/>
      <x:c r="E38" s="172"/>
      <x:c r="F38" s="172"/>
      <x:c r="G38" s="173" t="str">
        <x:f>IF(OR(E38="",F38=""),"",E38*F38)</x:f>
      </x:c>
      <x:c r="H38" s="173" t="str">
        <x:f>IF(G38="","",IF(G38&gt;=16,"Cao",IF(G38&gt;=8,"Trung bình","Thấp")))</x:f>
      </x:c>
      <x:c r="I38" s="172"/>
      <x:c r="J38" s="174"/>
      <x:c r="K38" s="172"/>
      <x:c r="L38" s="179"/>
      <x:c r="M38" s="172"/>
      <x:c r="N38" s="174"/>
      <x:c r="O38" s="173" t="str">
        <x:f>IF(A38="","",IF(OR(J38="",K38="Closed"),0,MAX(0,TODAY()-J38)))</x:f>
      </x:c>
    </x:row>
    <x:row r="39" ht="28" customHeight="1">
      <x:c r="A39" s="172"/>
      <x:c r="B39" s="172"/>
      <x:c r="C39" s="179"/>
      <x:c r="D39" s="179"/>
      <x:c r="E39" s="172"/>
      <x:c r="F39" s="172"/>
      <x:c r="G39" s="173" t="str">
        <x:f>IF(OR(E39="",F39=""),"",E39*F39)</x:f>
      </x:c>
      <x:c r="H39" s="173" t="str">
        <x:f>IF(G39="","",IF(G39&gt;=16,"Cao",IF(G39&gt;=8,"Trung bình","Thấp")))</x:f>
      </x:c>
      <x:c r="I39" s="172"/>
      <x:c r="J39" s="174"/>
      <x:c r="K39" s="172"/>
      <x:c r="L39" s="179"/>
      <x:c r="M39" s="172"/>
      <x:c r="N39" s="174"/>
      <x:c r="O39" s="173" t="str">
        <x:f>IF(A39="","",IF(OR(J39="",K39="Closed"),0,MAX(0,TODAY()-J39)))</x:f>
      </x:c>
    </x:row>
    <x:row r="40" ht="28" customHeight="1">
      <x:c r="A40" s="172"/>
      <x:c r="B40" s="172"/>
      <x:c r="C40" s="179"/>
      <x:c r="D40" s="179"/>
      <x:c r="E40" s="172"/>
      <x:c r="F40" s="172"/>
      <x:c r="G40" s="173" t="str">
        <x:f>IF(OR(E40="",F40=""),"",E40*F40)</x:f>
      </x:c>
      <x:c r="H40" s="173" t="str">
        <x:f>IF(G40="","",IF(G40&gt;=16,"Cao",IF(G40&gt;=8,"Trung bình","Thấp")))</x:f>
      </x:c>
      <x:c r="I40" s="172"/>
      <x:c r="J40" s="174"/>
      <x:c r="K40" s="172"/>
      <x:c r="L40" s="179"/>
      <x:c r="M40" s="172"/>
      <x:c r="N40" s="174"/>
      <x:c r="O40" s="173" t="str">
        <x:f>IF(A40="","",IF(OR(J40="",K40="Closed"),0,MAX(0,TODAY()-J40)))</x:f>
      </x:c>
    </x:row>
    <x:row r="41" ht="28" customHeight="1">
      <x:c r="A41" s="172"/>
      <x:c r="B41" s="172"/>
      <x:c r="C41" s="179"/>
      <x:c r="D41" s="179"/>
      <x:c r="E41" s="172"/>
      <x:c r="F41" s="172"/>
      <x:c r="G41" s="173" t="str">
        <x:f>IF(OR(E41="",F41=""),"",E41*F41)</x:f>
      </x:c>
      <x:c r="H41" s="173" t="str">
        <x:f>IF(G41="","",IF(G41&gt;=16,"Cao",IF(G41&gt;=8,"Trung bình","Thấp")))</x:f>
      </x:c>
      <x:c r="I41" s="172"/>
      <x:c r="J41" s="174"/>
      <x:c r="K41" s="172"/>
      <x:c r="L41" s="179"/>
      <x:c r="M41" s="172"/>
      <x:c r="N41" s="174"/>
      <x:c r="O41" s="173" t="str">
        <x:f>IF(A41="","",IF(OR(J41="",K41="Closed"),0,MAX(0,TODAY()-J41)))</x:f>
      </x:c>
    </x:row>
    <x:row r="42" ht="28" customHeight="1">
      <x:c r="A42" s="172"/>
      <x:c r="B42" s="172"/>
      <x:c r="C42" s="179"/>
      <x:c r="D42" s="179"/>
      <x:c r="E42" s="172"/>
      <x:c r="F42" s="172"/>
      <x:c r="G42" s="173" t="str">
        <x:f>IF(OR(E42="",F42=""),"",E42*F42)</x:f>
      </x:c>
      <x:c r="H42" s="173" t="str">
        <x:f>IF(G42="","",IF(G42&gt;=16,"Cao",IF(G42&gt;=8,"Trung bình","Thấp")))</x:f>
      </x:c>
      <x:c r="I42" s="172"/>
      <x:c r="J42" s="174"/>
      <x:c r="K42" s="172"/>
      <x:c r="L42" s="179"/>
      <x:c r="M42" s="172"/>
      <x:c r="N42" s="174"/>
      <x:c r="O42" s="173" t="str">
        <x:f>IF(A42="","",IF(OR(J42="",K42="Closed"),0,MAX(0,TODAY()-J42)))</x:f>
      </x:c>
    </x:row>
    <x:row r="43" ht="28" customHeight="1">
      <x:c r="A43" s="172"/>
      <x:c r="B43" s="172"/>
      <x:c r="C43" s="179"/>
      <x:c r="D43" s="179"/>
      <x:c r="E43" s="172"/>
      <x:c r="F43" s="172"/>
      <x:c r="G43" s="173" t="str">
        <x:f>IF(OR(E43="",F43=""),"",E43*F43)</x:f>
      </x:c>
      <x:c r="H43" s="173" t="str">
        <x:f>IF(G43="","",IF(G43&gt;=16,"Cao",IF(G43&gt;=8,"Trung bình","Thấp")))</x:f>
      </x:c>
      <x:c r="I43" s="172"/>
      <x:c r="J43" s="174"/>
      <x:c r="K43" s="172"/>
      <x:c r="L43" s="179"/>
      <x:c r="M43" s="172"/>
      <x:c r="N43" s="174"/>
      <x:c r="O43" s="173" t="str">
        <x:f>IF(A43="","",IF(OR(J43="",K43="Closed"),0,MAX(0,TODAY()-J43)))</x:f>
      </x:c>
    </x:row>
    <x:row r="44" ht="28" customHeight="1">
      <x:c r="A44" s="172"/>
      <x:c r="B44" s="172"/>
      <x:c r="C44" s="179"/>
      <x:c r="D44" s="179"/>
      <x:c r="E44" s="172"/>
      <x:c r="F44" s="172"/>
      <x:c r="G44" s="173" t="str">
        <x:f>IF(OR(E44="",F44=""),"",E44*F44)</x:f>
      </x:c>
      <x:c r="H44" s="173" t="str">
        <x:f>IF(G44="","",IF(G44&gt;=16,"Cao",IF(G44&gt;=8,"Trung bình","Thấp")))</x:f>
      </x:c>
      <x:c r="I44" s="172"/>
      <x:c r="J44" s="174"/>
      <x:c r="K44" s="172"/>
      <x:c r="L44" s="179"/>
      <x:c r="M44" s="172"/>
      <x:c r="N44" s="174"/>
      <x:c r="O44" s="173" t="str">
        <x:f>IF(A44="","",IF(OR(J44="",K44="Closed"),0,MAX(0,TODAY()-J44)))</x:f>
      </x:c>
    </x:row>
    <x:row r="45" ht="28" customHeight="1">
      <x:c r="A45" s="172"/>
      <x:c r="B45" s="172"/>
      <x:c r="C45" s="179"/>
      <x:c r="D45" s="179"/>
      <x:c r="E45" s="172"/>
      <x:c r="F45" s="172"/>
      <x:c r="G45" s="173" t="str">
        <x:f>IF(OR(E45="",F45=""),"",E45*F45)</x:f>
      </x:c>
      <x:c r="H45" s="173" t="str">
        <x:f>IF(G45="","",IF(G45&gt;=16,"Cao",IF(G45&gt;=8,"Trung bình","Thấp")))</x:f>
      </x:c>
      <x:c r="I45" s="172"/>
      <x:c r="J45" s="174"/>
      <x:c r="K45" s="172"/>
      <x:c r="L45" s="179"/>
      <x:c r="M45" s="172"/>
      <x:c r="N45" s="174"/>
      <x:c r="O45" s="173" t="str">
        <x:f>IF(A45="","",IF(OR(J45="",K45="Closed"),0,MAX(0,TODAY()-J45)))</x:f>
      </x:c>
    </x:row>
    <x:row r="46" ht="28" customHeight="1">
      <x:c r="A46" s="172"/>
      <x:c r="B46" s="172"/>
      <x:c r="C46" s="179"/>
      <x:c r="D46" s="179"/>
      <x:c r="E46" s="172"/>
      <x:c r="F46" s="172"/>
      <x:c r="G46" s="173" t="str">
        <x:f>IF(OR(E46="",F46=""),"",E46*F46)</x:f>
      </x:c>
      <x:c r="H46" s="173" t="str">
        <x:f>IF(G46="","",IF(G46&gt;=16,"Cao",IF(G46&gt;=8,"Trung bình","Thấp")))</x:f>
      </x:c>
      <x:c r="I46" s="172"/>
      <x:c r="J46" s="174"/>
      <x:c r="K46" s="172"/>
      <x:c r="L46" s="179"/>
      <x:c r="M46" s="172"/>
      <x:c r="N46" s="174"/>
      <x:c r="O46" s="173" t="str">
        <x:f>IF(A46="","",IF(OR(J46="",K46="Closed"),0,MAX(0,TODAY()-J46)))</x:f>
      </x:c>
    </x:row>
    <x:row r="47" ht="28" customHeight="1">
      <x:c r="A47" s="172"/>
      <x:c r="B47" s="172"/>
      <x:c r="C47" s="179"/>
      <x:c r="D47" s="179"/>
      <x:c r="E47" s="172"/>
      <x:c r="F47" s="172"/>
      <x:c r="G47" s="173" t="str">
        <x:f>IF(OR(E47="",F47=""),"",E47*F47)</x:f>
      </x:c>
      <x:c r="H47" s="173" t="str">
        <x:f>IF(G47="","",IF(G47&gt;=16,"Cao",IF(G47&gt;=8,"Trung bình","Thấp")))</x:f>
      </x:c>
      <x:c r="I47" s="172"/>
      <x:c r="J47" s="174"/>
      <x:c r="K47" s="172"/>
      <x:c r="L47" s="179"/>
      <x:c r="M47" s="172"/>
      <x:c r="N47" s="174"/>
      <x:c r="O47" s="173" t="str">
        <x:f>IF(A47="","",IF(OR(J47="",K47="Closed"),0,MAX(0,TODAY()-J47)))</x:f>
      </x:c>
    </x:row>
    <x:row r="48" ht="28" customHeight="1">
      <x:c r="A48" s="172"/>
      <x:c r="B48" s="172"/>
      <x:c r="C48" s="179"/>
      <x:c r="D48" s="179"/>
      <x:c r="E48" s="172"/>
      <x:c r="F48" s="172"/>
      <x:c r="G48" s="173" t="str">
        <x:f>IF(OR(E48="",F48=""),"",E48*F48)</x:f>
      </x:c>
      <x:c r="H48" s="173" t="str">
        <x:f>IF(G48="","",IF(G48&gt;=16,"Cao",IF(G48&gt;=8,"Trung bình","Thấp")))</x:f>
      </x:c>
      <x:c r="I48" s="172"/>
      <x:c r="J48" s="174"/>
      <x:c r="K48" s="172"/>
      <x:c r="L48" s="179"/>
      <x:c r="M48" s="172"/>
      <x:c r="N48" s="174"/>
      <x:c r="O48" s="173" t="str">
        <x:f>IF(A48="","",IF(OR(J48="",K48="Closed"),0,MAX(0,TODAY()-J48)))</x:f>
      </x:c>
    </x:row>
    <x:row r="49" ht="28" customHeight="1">
      <x:c r="A49" s="172"/>
      <x:c r="B49" s="172"/>
      <x:c r="C49" s="179"/>
      <x:c r="D49" s="179"/>
      <x:c r="E49" s="172"/>
      <x:c r="F49" s="172"/>
      <x:c r="G49" s="173" t="str">
        <x:f>IF(OR(E49="",F49=""),"",E49*F49)</x:f>
      </x:c>
      <x:c r="H49" s="173" t="str">
        <x:f>IF(G49="","",IF(G49&gt;=16,"Cao",IF(G49&gt;=8,"Trung bình","Thấp")))</x:f>
      </x:c>
      <x:c r="I49" s="172"/>
      <x:c r="J49" s="174"/>
      <x:c r="K49" s="172"/>
      <x:c r="L49" s="179"/>
      <x:c r="M49" s="172"/>
      <x:c r="N49" s="174"/>
      <x:c r="O49" s="173" t="str">
        <x:f>IF(A49="","",IF(OR(J49="",K49="Closed"),0,MAX(0,TODAY()-J49)))</x:f>
      </x:c>
    </x:row>
    <x:row r="50" ht="28" customHeight="1">
      <x:c r="A50" s="172"/>
      <x:c r="B50" s="172"/>
      <x:c r="C50" s="179"/>
      <x:c r="D50" s="179"/>
      <x:c r="E50" s="172"/>
      <x:c r="F50" s="172"/>
      <x:c r="G50" s="173" t="str">
        <x:f>IF(OR(E50="",F50=""),"",E50*F50)</x:f>
      </x:c>
      <x:c r="H50" s="173" t="str">
        <x:f>IF(G50="","",IF(G50&gt;=16,"Cao",IF(G50&gt;=8,"Trung bình","Thấp")))</x:f>
      </x:c>
      <x:c r="I50" s="172"/>
      <x:c r="J50" s="174"/>
      <x:c r="K50" s="172"/>
      <x:c r="L50" s="179"/>
      <x:c r="M50" s="172"/>
      <x:c r="N50" s="174"/>
      <x:c r="O50" s="173" t="str">
        <x:f>IF(A50="","",IF(OR(J50="",K50="Closed"),0,MAX(0,TODAY()-J50)))</x:f>
      </x:c>
    </x:row>
    <x:row r="51" ht="28" customHeight="1">
      <x:c r="A51" s="172"/>
      <x:c r="B51" s="172"/>
      <x:c r="C51" s="179"/>
      <x:c r="D51" s="179"/>
      <x:c r="E51" s="172"/>
      <x:c r="F51" s="172"/>
      <x:c r="G51" s="173" t="str">
        <x:f>IF(OR(E51="",F51=""),"",E51*F51)</x:f>
      </x:c>
      <x:c r="H51" s="173" t="str">
        <x:f>IF(G51="","",IF(G51&gt;=16,"Cao",IF(G51&gt;=8,"Trung bình","Thấp")))</x:f>
      </x:c>
      <x:c r="I51" s="172"/>
      <x:c r="J51" s="174"/>
      <x:c r="K51" s="172"/>
      <x:c r="L51" s="179"/>
      <x:c r="M51" s="172"/>
      <x:c r="N51" s="174"/>
      <x:c r="O51" s="173" t="str">
        <x:f>IF(A51="","",IF(OR(J51="",K51="Closed"),0,MAX(0,TODAY()-J51)))</x:f>
      </x:c>
    </x:row>
    <x:row r="52" ht="28" customHeight="1">
      <x:c r="A52" s="172"/>
      <x:c r="B52" s="172"/>
      <x:c r="C52" s="179"/>
      <x:c r="D52" s="179"/>
      <x:c r="E52" s="172"/>
      <x:c r="F52" s="172"/>
      <x:c r="G52" s="173" t="str">
        <x:f>IF(OR(E52="",F52=""),"",E52*F52)</x:f>
      </x:c>
      <x:c r="H52" s="173" t="str">
        <x:f>IF(G52="","",IF(G52&gt;=16,"Cao",IF(G52&gt;=8,"Trung bình","Thấp")))</x:f>
      </x:c>
      <x:c r="I52" s="172"/>
      <x:c r="J52" s="174"/>
      <x:c r="K52" s="172"/>
      <x:c r="L52" s="179"/>
      <x:c r="M52" s="172"/>
      <x:c r="N52" s="174"/>
      <x:c r="O52" s="173" t="str">
        <x:f>IF(A52="","",IF(OR(J52="",K52="Closed"),0,MAX(0,TODAY()-J52)))</x:f>
      </x:c>
    </x:row>
    <x:row r="53" ht="28" customHeight="1">
      <x:c r="A53" s="172"/>
      <x:c r="B53" s="172"/>
      <x:c r="C53" s="179"/>
      <x:c r="D53" s="179"/>
      <x:c r="E53" s="172"/>
      <x:c r="F53" s="172"/>
      <x:c r="G53" s="173" t="str">
        <x:f>IF(OR(E53="",F53=""),"",E53*F53)</x:f>
      </x:c>
      <x:c r="H53" s="173" t="str">
        <x:f>IF(G53="","",IF(G53&gt;=16,"Cao",IF(G53&gt;=8,"Trung bình","Thấp")))</x:f>
      </x:c>
      <x:c r="I53" s="172"/>
      <x:c r="J53" s="174"/>
      <x:c r="K53" s="172"/>
      <x:c r="L53" s="179"/>
      <x:c r="M53" s="172"/>
      <x:c r="N53" s="174"/>
      <x:c r="O53" s="173" t="str">
        <x:f>IF(A53="","",IF(OR(J53="",K53="Closed"),0,MAX(0,TODAY()-J53)))</x:f>
      </x:c>
    </x:row>
    <x:row r="54" ht="28" customHeight="1">
      <x:c r="A54" s="172"/>
      <x:c r="B54" s="172"/>
      <x:c r="C54" s="179"/>
      <x:c r="D54" s="179"/>
      <x:c r="E54" s="172"/>
      <x:c r="F54" s="172"/>
      <x:c r="G54" s="173" t="str">
        <x:f>IF(OR(E54="",F54=""),"",E54*F54)</x:f>
      </x:c>
      <x:c r="H54" s="173" t="str">
        <x:f>IF(G54="","",IF(G54&gt;=16,"Cao",IF(G54&gt;=8,"Trung bình","Thấp")))</x:f>
      </x:c>
      <x:c r="I54" s="172"/>
      <x:c r="J54" s="174"/>
      <x:c r="K54" s="172"/>
      <x:c r="L54" s="179"/>
      <x:c r="M54" s="172"/>
      <x:c r="N54" s="174"/>
      <x:c r="O54" s="173" t="str">
        <x:f>IF(A54="","",IF(OR(J54="",K54="Closed"),0,MAX(0,TODAY()-J54)))</x:f>
      </x:c>
    </x:row>
    <x:row r="55" ht="28" customHeight="1">
      <x:c r="A55" s="172"/>
      <x:c r="B55" s="172"/>
      <x:c r="C55" s="179"/>
      <x:c r="D55" s="179"/>
      <x:c r="E55" s="172"/>
      <x:c r="F55" s="172"/>
      <x:c r="G55" s="173" t="str">
        <x:f>IF(OR(E55="",F55=""),"",E55*F55)</x:f>
      </x:c>
      <x:c r="H55" s="173" t="str">
        <x:f>IF(G55="","",IF(G55&gt;=16,"Cao",IF(G55&gt;=8,"Trung bình","Thấp")))</x:f>
      </x:c>
      <x:c r="I55" s="172"/>
      <x:c r="J55" s="174"/>
      <x:c r="K55" s="172"/>
      <x:c r="L55" s="179"/>
      <x:c r="M55" s="172"/>
      <x:c r="N55" s="174"/>
      <x:c r="O55" s="173" t="str">
        <x:f>IF(A55="","",IF(OR(J55="",K55="Closed"),0,MAX(0,TODAY()-J55)))</x:f>
      </x:c>
    </x:row>
    <x:row r="56" ht="28" customHeight="1">
      <x:c r="A56" s="172"/>
      <x:c r="B56" s="172"/>
      <x:c r="C56" s="179"/>
      <x:c r="D56" s="179"/>
      <x:c r="E56" s="172"/>
      <x:c r="F56" s="172"/>
      <x:c r="G56" s="173" t="str">
        <x:f>IF(OR(E56="",F56=""),"",E56*F56)</x:f>
      </x:c>
      <x:c r="H56" s="173" t="str">
        <x:f>IF(G56="","",IF(G56&gt;=16,"Cao",IF(G56&gt;=8,"Trung bình","Thấp")))</x:f>
      </x:c>
      <x:c r="I56" s="172"/>
      <x:c r="J56" s="174"/>
      <x:c r="K56" s="172"/>
      <x:c r="L56" s="179"/>
      <x:c r="M56" s="172"/>
      <x:c r="N56" s="174"/>
      <x:c r="O56" s="173" t="str">
        <x:f>IF(A56="","",IF(OR(J56="",K56="Closed"),0,MAX(0,TODAY()-J56)))</x:f>
      </x:c>
    </x:row>
    <x:row r="57" ht="28" customHeight="1">
      <x:c r="A57" s="172"/>
      <x:c r="B57" s="172"/>
      <x:c r="C57" s="179"/>
      <x:c r="D57" s="179"/>
      <x:c r="E57" s="172"/>
      <x:c r="F57" s="172"/>
      <x:c r="G57" s="173" t="str">
        <x:f>IF(OR(E57="",F57=""),"",E57*F57)</x:f>
      </x:c>
      <x:c r="H57" s="173" t="str">
        <x:f>IF(G57="","",IF(G57&gt;=16,"Cao",IF(G57&gt;=8,"Trung bình","Thấp")))</x:f>
      </x:c>
      <x:c r="I57" s="172"/>
      <x:c r="J57" s="174"/>
      <x:c r="K57" s="172"/>
      <x:c r="L57" s="179"/>
      <x:c r="M57" s="172"/>
      <x:c r="N57" s="174"/>
      <x:c r="O57" s="173" t="str">
        <x:f>IF(A57="","",IF(OR(J57="",K57="Closed"),0,MAX(0,TODAY()-J57)))</x:f>
      </x:c>
    </x:row>
    <x:row r="58" ht="28" customHeight="1">
      <x:c r="A58" s="172"/>
      <x:c r="B58" s="172"/>
      <x:c r="C58" s="179"/>
      <x:c r="D58" s="179"/>
      <x:c r="E58" s="172"/>
      <x:c r="F58" s="172"/>
      <x:c r="G58" s="173" t="str">
        <x:f>IF(OR(E58="",F58=""),"",E58*F58)</x:f>
      </x:c>
      <x:c r="H58" s="173" t="str">
        <x:f>IF(G58="","",IF(G58&gt;=16,"Cao",IF(G58&gt;=8,"Trung bình","Thấp")))</x:f>
      </x:c>
      <x:c r="I58" s="172"/>
      <x:c r="J58" s="174"/>
      <x:c r="K58" s="172"/>
      <x:c r="L58" s="179"/>
      <x:c r="M58" s="172"/>
      <x:c r="N58" s="174"/>
      <x:c r="O58" s="173" t="str">
        <x:f>IF(A58="","",IF(OR(J58="",K58="Closed"),0,MAX(0,TODAY()-J58)))</x:f>
      </x:c>
    </x:row>
    <x:row r="59" ht="28" customHeight="1">
      <x:c r="A59" s="172"/>
      <x:c r="B59" s="172"/>
      <x:c r="C59" s="179"/>
      <x:c r="D59" s="179"/>
      <x:c r="E59" s="172"/>
      <x:c r="F59" s="172"/>
      <x:c r="G59" s="173" t="str">
        <x:f>IF(OR(E59="",F59=""),"",E59*F59)</x:f>
      </x:c>
      <x:c r="H59" s="173" t="str">
        <x:f>IF(G59="","",IF(G59&gt;=16,"Cao",IF(G59&gt;=8,"Trung bình","Thấp")))</x:f>
      </x:c>
      <x:c r="I59" s="172"/>
      <x:c r="J59" s="174"/>
      <x:c r="K59" s="172"/>
      <x:c r="L59" s="179"/>
      <x:c r="M59" s="172"/>
      <x:c r="N59" s="174"/>
      <x:c r="O59" s="173" t="str">
        <x:f>IF(A59="","",IF(OR(J59="",K59="Closed"),0,MAX(0,TODAY()-J59)))</x:f>
      </x:c>
    </x:row>
    <x:row r="60" ht="28" customHeight="1">
      <x:c r="A60" s="172"/>
      <x:c r="B60" s="172"/>
      <x:c r="C60" s="179"/>
      <x:c r="D60" s="179"/>
      <x:c r="E60" s="172"/>
      <x:c r="F60" s="172"/>
      <x:c r="G60" s="173" t="str">
        <x:f>IF(OR(E60="",F60=""),"",E60*F60)</x:f>
      </x:c>
      <x:c r="H60" s="173" t="str">
        <x:f>IF(G60="","",IF(G60&gt;=16,"Cao",IF(G60&gt;=8,"Trung bình","Thấp")))</x:f>
      </x:c>
      <x:c r="I60" s="172"/>
      <x:c r="J60" s="174"/>
      <x:c r="K60" s="172"/>
      <x:c r="L60" s="179"/>
      <x:c r="M60" s="172"/>
      <x:c r="N60" s="174"/>
      <x:c r="O60" s="173" t="str">
        <x:f>IF(A60="","",IF(OR(J60="",K60="Closed"),0,MAX(0,TODAY()-J60)))</x:f>
      </x:c>
    </x:row>
    <x:row r="61" ht="28" customHeight="1">
      <x:c r="A61" s="172"/>
      <x:c r="B61" s="172"/>
      <x:c r="C61" s="179"/>
      <x:c r="D61" s="179"/>
      <x:c r="E61" s="172"/>
      <x:c r="F61" s="172"/>
      <x:c r="G61" s="173" t="str">
        <x:f>IF(OR(E61="",F61=""),"",E61*F61)</x:f>
      </x:c>
      <x:c r="H61" s="173" t="str">
        <x:f>IF(G61="","",IF(G61&gt;=16,"Cao",IF(G61&gt;=8,"Trung bình","Thấp")))</x:f>
      </x:c>
      <x:c r="I61" s="172"/>
      <x:c r="J61" s="174"/>
      <x:c r="K61" s="172"/>
      <x:c r="L61" s="179"/>
      <x:c r="M61" s="172"/>
      <x:c r="N61" s="174"/>
      <x:c r="O61" s="173" t="str">
        <x:f>IF(A61="","",IF(OR(J61="",K61="Closed"),0,MAX(0,TODAY()-J61)))</x:f>
      </x:c>
    </x:row>
    <x:row r="62" ht="28" customHeight="1">
      <x:c r="A62" s="172"/>
      <x:c r="B62" s="172"/>
      <x:c r="C62" s="179"/>
      <x:c r="D62" s="179"/>
      <x:c r="E62" s="172"/>
      <x:c r="F62" s="172"/>
      <x:c r="G62" s="173" t="str">
        <x:f>IF(OR(E62="",F62=""),"",E62*F62)</x:f>
      </x:c>
      <x:c r="H62" s="173" t="str">
        <x:f>IF(G62="","",IF(G62&gt;=16,"Cao",IF(G62&gt;=8,"Trung bình","Thấp")))</x:f>
      </x:c>
      <x:c r="I62" s="172"/>
      <x:c r="J62" s="174"/>
      <x:c r="K62" s="172"/>
      <x:c r="L62" s="179"/>
      <x:c r="M62" s="172"/>
      <x:c r="N62" s="174"/>
      <x:c r="O62" s="173" t="str">
        <x:f>IF(A62="","",IF(OR(J62="",K62="Closed"),0,MAX(0,TODAY()-J62)))</x:f>
      </x:c>
    </x:row>
    <x:row r="63" ht="28" customHeight="1">
      <x:c r="A63" s="172"/>
      <x:c r="B63" s="172"/>
      <x:c r="C63" s="179"/>
      <x:c r="D63" s="179"/>
      <x:c r="E63" s="172"/>
      <x:c r="F63" s="172"/>
      <x:c r="G63" s="173" t="str">
        <x:f>IF(OR(E63="",F63=""),"",E63*F63)</x:f>
      </x:c>
      <x:c r="H63" s="173" t="str">
        <x:f>IF(G63="","",IF(G63&gt;=16,"Cao",IF(G63&gt;=8,"Trung bình","Thấp")))</x:f>
      </x:c>
      <x:c r="I63" s="172"/>
      <x:c r="J63" s="174"/>
      <x:c r="K63" s="172"/>
      <x:c r="L63" s="179"/>
      <x:c r="M63" s="172"/>
      <x:c r="N63" s="174"/>
      <x:c r="O63" s="173" t="str">
        <x:f>IF(A63="","",IF(OR(J63="",K63="Closed"),0,MAX(0,TODAY()-J63)))</x:f>
      </x:c>
    </x:row>
    <x:row r="64" ht="28" customHeight="1">
      <x:c r="A64" s="172"/>
      <x:c r="B64" s="172"/>
      <x:c r="C64" s="179"/>
      <x:c r="D64" s="179"/>
      <x:c r="E64" s="172"/>
      <x:c r="F64" s="172"/>
      <x:c r="G64" s="173" t="str">
        <x:f>IF(OR(E64="",F64=""),"",E64*F64)</x:f>
      </x:c>
      <x:c r="H64" s="173" t="str">
        <x:f>IF(G64="","",IF(G64&gt;=16,"Cao",IF(G64&gt;=8,"Trung bình","Thấp")))</x:f>
      </x:c>
      <x:c r="I64" s="172"/>
      <x:c r="J64" s="174"/>
      <x:c r="K64" s="172"/>
      <x:c r="L64" s="179"/>
      <x:c r="M64" s="172"/>
      <x:c r="N64" s="174"/>
      <x:c r="O64" s="173" t="str">
        <x:f>IF(A64="","",IF(OR(J64="",K64="Closed"),0,MAX(0,TODAY()-J64)))</x:f>
      </x:c>
    </x:row>
    <x:row r="65" ht="28" customHeight="1">
      <x:c r="A65" s="172"/>
      <x:c r="B65" s="172"/>
      <x:c r="C65" s="179"/>
      <x:c r="D65" s="179"/>
      <x:c r="E65" s="172"/>
      <x:c r="F65" s="172"/>
      <x:c r="G65" s="173" t="str">
        <x:f>IF(OR(E65="",F65=""),"",E65*F65)</x:f>
      </x:c>
      <x:c r="H65" s="173" t="str">
        <x:f>IF(G65="","",IF(G65&gt;=16,"Cao",IF(G65&gt;=8,"Trung bình","Thấp")))</x:f>
      </x:c>
      <x:c r="I65" s="172"/>
      <x:c r="J65" s="174"/>
      <x:c r="K65" s="172"/>
      <x:c r="L65" s="179"/>
      <x:c r="M65" s="172"/>
      <x:c r="N65" s="174"/>
      <x:c r="O65" s="173" t="str">
        <x:f>IF(A65="","",IF(OR(J65="",K65="Closed"),0,MAX(0,TODAY()-J65)))</x:f>
      </x:c>
    </x:row>
    <x:row r="66" ht="28" customHeight="1">
      <x:c r="A66" s="172"/>
      <x:c r="B66" s="172"/>
      <x:c r="C66" s="179"/>
      <x:c r="D66" s="179"/>
      <x:c r="E66" s="172"/>
      <x:c r="F66" s="172"/>
      <x:c r="G66" s="173" t="str">
        <x:f>IF(OR(E66="",F66=""),"",E66*F66)</x:f>
      </x:c>
      <x:c r="H66" s="173" t="str">
        <x:f>IF(G66="","",IF(G66&gt;=16,"Cao",IF(G66&gt;=8,"Trung bình","Thấp")))</x:f>
      </x:c>
      <x:c r="I66" s="172"/>
      <x:c r="J66" s="174"/>
      <x:c r="K66" s="172"/>
      <x:c r="L66" s="179"/>
      <x:c r="M66" s="172"/>
      <x:c r="N66" s="174"/>
      <x:c r="O66" s="173" t="str">
        <x:f>IF(A66="","",IF(OR(J66="",K66="Closed"),0,MAX(0,TODAY()-J66)))</x:f>
      </x:c>
    </x:row>
    <x:row r="67" ht="28" customHeight="1">
      <x:c r="A67" s="172"/>
      <x:c r="B67" s="172"/>
      <x:c r="C67" s="179"/>
      <x:c r="D67" s="179"/>
      <x:c r="E67" s="172"/>
      <x:c r="F67" s="172"/>
      <x:c r="G67" s="173" t="str">
        <x:f>IF(OR(E67="",F67=""),"",E67*F67)</x:f>
      </x:c>
      <x:c r="H67" s="173" t="str">
        <x:f>IF(G67="","",IF(G67&gt;=16,"Cao",IF(G67&gt;=8,"Trung bình","Thấp")))</x:f>
      </x:c>
      <x:c r="I67" s="172"/>
      <x:c r="J67" s="174"/>
      <x:c r="K67" s="172"/>
      <x:c r="L67" s="179"/>
      <x:c r="M67" s="172"/>
      <x:c r="N67" s="174"/>
      <x:c r="O67" s="173" t="str">
        <x:f>IF(A67="","",IF(OR(J67="",K67="Closed"),0,MAX(0,TODAY()-J67)))</x:f>
      </x:c>
    </x:row>
    <x:row r="68" ht="28" customHeight="1">
      <x:c r="A68" s="172"/>
      <x:c r="B68" s="172"/>
      <x:c r="C68" s="179"/>
      <x:c r="D68" s="179"/>
      <x:c r="E68" s="172"/>
      <x:c r="F68" s="172"/>
      <x:c r="G68" s="173" t="str">
        <x:f>IF(OR(E68="",F68=""),"",E68*F68)</x:f>
      </x:c>
      <x:c r="H68" s="173" t="str">
        <x:f>IF(G68="","",IF(G68&gt;=16,"Cao",IF(G68&gt;=8,"Trung bình","Thấp")))</x:f>
      </x:c>
      <x:c r="I68" s="172"/>
      <x:c r="J68" s="174"/>
      <x:c r="K68" s="172"/>
      <x:c r="L68" s="179"/>
      <x:c r="M68" s="172"/>
      <x:c r="N68" s="174"/>
      <x:c r="O68" s="173" t="str">
        <x:f>IF(A68="","",IF(OR(J68="",K68="Closed"),0,MAX(0,TODAY()-J68)))</x:f>
      </x:c>
    </x:row>
    <x:row r="69" ht="28" customHeight="1">
      <x:c r="A69" s="172"/>
      <x:c r="B69" s="172"/>
      <x:c r="C69" s="179"/>
      <x:c r="D69" s="179"/>
      <x:c r="E69" s="172"/>
      <x:c r="F69" s="172"/>
      <x:c r="G69" s="173" t="str">
        <x:f>IF(OR(E69="",F69=""),"",E69*F69)</x:f>
      </x:c>
      <x:c r="H69" s="173" t="str">
        <x:f>IF(G69="","",IF(G69&gt;=16,"Cao",IF(G69&gt;=8,"Trung bình","Thấp")))</x:f>
      </x:c>
      <x:c r="I69" s="172"/>
      <x:c r="J69" s="174"/>
      <x:c r="K69" s="172"/>
      <x:c r="L69" s="179"/>
      <x:c r="M69" s="172"/>
      <x:c r="N69" s="174"/>
      <x:c r="O69" s="173" t="str">
        <x:f>IF(A69="","",IF(OR(J69="",K69="Closed"),0,MAX(0,TODAY()-J69)))</x:f>
      </x:c>
    </x:row>
    <x:row r="70" ht="28" customHeight="1">
      <x:c r="A70" s="172"/>
      <x:c r="B70" s="172"/>
      <x:c r="C70" s="179"/>
      <x:c r="D70" s="179"/>
      <x:c r="E70" s="172"/>
      <x:c r="F70" s="172"/>
      <x:c r="G70" s="173" t="str">
        <x:f>IF(OR(E70="",F70=""),"",E70*F70)</x:f>
      </x:c>
      <x:c r="H70" s="173" t="str">
        <x:f>IF(G70="","",IF(G70&gt;=16,"Cao",IF(G70&gt;=8,"Trung bình","Thấp")))</x:f>
      </x:c>
      <x:c r="I70" s="172"/>
      <x:c r="J70" s="174"/>
      <x:c r="K70" s="172"/>
      <x:c r="L70" s="179"/>
      <x:c r="M70" s="172"/>
      <x:c r="N70" s="174"/>
      <x:c r="O70" s="173" t="str">
        <x:f>IF(A70="","",IF(OR(J70="",K70="Closed"),0,MAX(0,TODAY()-J70)))</x:f>
      </x:c>
    </x:row>
    <x:row r="71" ht="28" customHeight="1">
      <x:c r="A71" s="172"/>
      <x:c r="B71" s="172"/>
      <x:c r="C71" s="179"/>
      <x:c r="D71" s="179"/>
      <x:c r="E71" s="172"/>
      <x:c r="F71" s="172"/>
      <x:c r="G71" s="173" t="str">
        <x:f>IF(OR(E71="",F71=""),"",E71*F71)</x:f>
      </x:c>
      <x:c r="H71" s="173" t="str">
        <x:f>IF(G71="","",IF(G71&gt;=16,"Cao",IF(G71&gt;=8,"Trung bình","Thấp")))</x:f>
      </x:c>
      <x:c r="I71" s="172"/>
      <x:c r="J71" s="174"/>
      <x:c r="K71" s="172"/>
      <x:c r="L71" s="179"/>
      <x:c r="M71" s="172"/>
      <x:c r="N71" s="174"/>
      <x:c r="O71" s="173" t="str">
        <x:f>IF(A71="","",IF(OR(J71="",K71="Closed"),0,MAX(0,TODAY()-J71)))</x:f>
      </x:c>
    </x:row>
    <x:row r="72" ht="28" customHeight="1">
      <x:c r="A72" s="172"/>
      <x:c r="B72" s="172"/>
      <x:c r="C72" s="179"/>
      <x:c r="D72" s="179"/>
      <x:c r="E72" s="172"/>
      <x:c r="F72" s="172"/>
      <x:c r="G72" s="173" t="str">
        <x:f>IF(OR(E72="",F72=""),"",E72*F72)</x:f>
      </x:c>
      <x:c r="H72" s="173" t="str">
        <x:f>IF(G72="","",IF(G72&gt;=16,"Cao",IF(G72&gt;=8,"Trung bình","Thấp")))</x:f>
      </x:c>
      <x:c r="I72" s="172"/>
      <x:c r="J72" s="174"/>
      <x:c r="K72" s="172"/>
      <x:c r="L72" s="179"/>
      <x:c r="M72" s="172"/>
      <x:c r="N72" s="174"/>
      <x:c r="O72" s="173" t="str">
        <x:f>IF(A72="","",IF(OR(J72="",K72="Closed"),0,MAX(0,TODAY()-J72)))</x:f>
      </x:c>
    </x:row>
    <x:row r="73" ht="28" customHeight="1">
      <x:c r="A73" s="172"/>
      <x:c r="B73" s="172"/>
      <x:c r="C73" s="179"/>
      <x:c r="D73" s="179"/>
      <x:c r="E73" s="172"/>
      <x:c r="F73" s="172"/>
      <x:c r="G73" s="173" t="str">
        <x:f>IF(OR(E73="",F73=""),"",E73*F73)</x:f>
      </x:c>
      <x:c r="H73" s="173" t="str">
        <x:f>IF(G73="","",IF(G73&gt;=16,"Cao",IF(G73&gt;=8,"Trung bình","Thấp")))</x:f>
      </x:c>
      <x:c r="I73" s="172"/>
      <x:c r="J73" s="174"/>
      <x:c r="K73" s="172"/>
      <x:c r="L73" s="179"/>
      <x:c r="M73" s="172"/>
      <x:c r="N73" s="174"/>
      <x:c r="O73" s="173" t="str">
        <x:f>IF(A73="","",IF(OR(J73="",K73="Closed"),0,MAX(0,TODAY()-J73)))</x:f>
      </x:c>
    </x:row>
    <x:row r="74" ht="28" customHeight="1">
      <x:c r="A74" s="172"/>
      <x:c r="B74" s="172"/>
      <x:c r="C74" s="179"/>
      <x:c r="D74" s="179"/>
      <x:c r="E74" s="172"/>
      <x:c r="F74" s="172"/>
      <x:c r="G74" s="173" t="str">
        <x:f>IF(OR(E74="",F74=""),"",E74*F74)</x:f>
      </x:c>
      <x:c r="H74" s="173" t="str">
        <x:f>IF(G74="","",IF(G74&gt;=16,"Cao",IF(G74&gt;=8,"Trung bình","Thấp")))</x:f>
      </x:c>
      <x:c r="I74" s="172"/>
      <x:c r="J74" s="174"/>
      <x:c r="K74" s="172"/>
      <x:c r="L74" s="179"/>
      <x:c r="M74" s="172"/>
      <x:c r="N74" s="174"/>
      <x:c r="O74" s="173" t="str">
        <x:f>IF(A74="","",IF(OR(J74="",K74="Closed"),0,MAX(0,TODAY()-J74)))</x:f>
      </x:c>
    </x:row>
    <x:row r="75" ht="28" customHeight="1">
      <x:c r="A75" s="172"/>
      <x:c r="B75" s="172"/>
      <x:c r="C75" s="179"/>
      <x:c r="D75" s="179"/>
      <x:c r="E75" s="172"/>
      <x:c r="F75" s="172"/>
      <x:c r="G75" s="173" t="str">
        <x:f>IF(OR(E75="",F75=""),"",E75*F75)</x:f>
      </x:c>
      <x:c r="H75" s="173" t="str">
        <x:f>IF(G75="","",IF(G75&gt;=16,"Cao",IF(G75&gt;=8,"Trung bình","Thấp")))</x:f>
      </x:c>
      <x:c r="I75" s="172"/>
      <x:c r="J75" s="174"/>
      <x:c r="K75" s="172"/>
      <x:c r="L75" s="179"/>
      <x:c r="M75" s="172"/>
      <x:c r="N75" s="174"/>
      <x:c r="O75" s="173" t="str">
        <x:f>IF(A75="","",IF(OR(J75="",K75="Closed"),0,MAX(0,TODAY()-J75)))</x:f>
      </x:c>
    </x:row>
    <x:row r="76" ht="28" customHeight="1">
      <x:c r="A76" s="172"/>
      <x:c r="B76" s="172"/>
      <x:c r="C76" s="179"/>
      <x:c r="D76" s="179"/>
      <x:c r="E76" s="172"/>
      <x:c r="F76" s="172"/>
      <x:c r="G76" s="173" t="str">
        <x:f>IF(OR(E76="",F76=""),"",E76*F76)</x:f>
      </x:c>
      <x:c r="H76" s="173" t="str">
        <x:f>IF(G76="","",IF(G76&gt;=16,"Cao",IF(G76&gt;=8,"Trung bình","Thấp")))</x:f>
      </x:c>
      <x:c r="I76" s="172"/>
      <x:c r="J76" s="174"/>
      <x:c r="K76" s="172"/>
      <x:c r="L76" s="179"/>
      <x:c r="M76" s="172"/>
      <x:c r="N76" s="174"/>
      <x:c r="O76" s="173" t="str">
        <x:f>IF(A76="","",IF(OR(J76="",K76="Closed"),0,MAX(0,TODAY()-J76)))</x:f>
      </x:c>
    </x:row>
    <x:row r="77" ht="28" customHeight="1">
      <x:c r="A77" s="172"/>
      <x:c r="B77" s="172"/>
      <x:c r="C77" s="179"/>
      <x:c r="D77" s="179"/>
      <x:c r="E77" s="172"/>
      <x:c r="F77" s="172"/>
      <x:c r="G77" s="173" t="str">
        <x:f>IF(OR(E77="",F77=""),"",E77*F77)</x:f>
      </x:c>
      <x:c r="H77" s="173" t="str">
        <x:f>IF(G77="","",IF(G77&gt;=16,"Cao",IF(G77&gt;=8,"Trung bình","Thấp")))</x:f>
      </x:c>
      <x:c r="I77" s="172"/>
      <x:c r="J77" s="174"/>
      <x:c r="K77" s="172"/>
      <x:c r="L77" s="179"/>
      <x:c r="M77" s="172"/>
      <x:c r="N77" s="174"/>
      <x:c r="O77" s="173" t="str">
        <x:f>IF(A77="","",IF(OR(J77="",K77="Closed"),0,MAX(0,TODAY()-J77)))</x:f>
      </x:c>
    </x:row>
    <x:row r="78" ht="28" customHeight="1">
      <x:c r="A78" s="172"/>
      <x:c r="B78" s="172"/>
      <x:c r="C78" s="179"/>
      <x:c r="D78" s="179"/>
      <x:c r="E78" s="172"/>
      <x:c r="F78" s="172"/>
      <x:c r="G78" s="173" t="str">
        <x:f>IF(OR(E78="",F78=""),"",E78*F78)</x:f>
      </x:c>
      <x:c r="H78" s="173" t="str">
        <x:f>IF(G78="","",IF(G78&gt;=16,"Cao",IF(G78&gt;=8,"Trung bình","Thấp")))</x:f>
      </x:c>
      <x:c r="I78" s="172"/>
      <x:c r="J78" s="174"/>
      <x:c r="K78" s="172"/>
      <x:c r="L78" s="179"/>
      <x:c r="M78" s="172"/>
      <x:c r="N78" s="174"/>
      <x:c r="O78" s="173" t="str">
        <x:f>IF(A78="","",IF(OR(J78="",K78="Closed"),0,MAX(0,TODAY()-J78)))</x:f>
      </x:c>
    </x:row>
    <x:row r="79" ht="28" customHeight="1">
      <x:c r="A79" s="172"/>
      <x:c r="B79" s="172"/>
      <x:c r="C79" s="179"/>
      <x:c r="D79" s="179"/>
      <x:c r="E79" s="172"/>
      <x:c r="F79" s="172"/>
      <x:c r="G79" s="173" t="str">
        <x:f>IF(OR(E79="",F79=""),"",E79*F79)</x:f>
      </x:c>
      <x:c r="H79" s="173" t="str">
        <x:f>IF(G79="","",IF(G79&gt;=16,"Cao",IF(G79&gt;=8,"Trung bình","Thấp")))</x:f>
      </x:c>
      <x:c r="I79" s="172"/>
      <x:c r="J79" s="174"/>
      <x:c r="K79" s="172"/>
      <x:c r="L79" s="179"/>
      <x:c r="M79" s="172"/>
      <x:c r="N79" s="174"/>
      <x:c r="O79" s="173" t="str">
        <x:f>IF(A79="","",IF(OR(J79="",K79="Closed"),0,MAX(0,TODAY()-J79)))</x:f>
      </x:c>
    </x:row>
    <x:row r="80" ht="28" customHeight="1">
      <x:c r="A80" s="172"/>
      <x:c r="B80" s="172"/>
      <x:c r="C80" s="179"/>
      <x:c r="D80" s="179"/>
      <x:c r="E80" s="172"/>
      <x:c r="F80" s="172"/>
      <x:c r="G80" s="173" t="str">
        <x:f>IF(OR(E80="",F80=""),"",E80*F80)</x:f>
      </x:c>
      <x:c r="H80" s="173" t="str">
        <x:f>IF(G80="","",IF(G80&gt;=16,"Cao",IF(G80&gt;=8,"Trung bình","Thấp")))</x:f>
      </x:c>
      <x:c r="I80" s="172"/>
      <x:c r="J80" s="174"/>
      <x:c r="K80" s="172"/>
      <x:c r="L80" s="179"/>
      <x:c r="M80" s="172"/>
      <x:c r="N80" s="174"/>
      <x:c r="O80" s="173" t="str">
        <x:f>IF(A80="","",IF(OR(J80="",K80="Closed"),0,MAX(0,TODAY()-J80)))</x:f>
      </x:c>
    </x:row>
    <x:row r="81" ht="28" customHeight="1">
      <x:c r="A81" s="172"/>
      <x:c r="B81" s="172"/>
      <x:c r="C81" s="179"/>
      <x:c r="D81" s="179"/>
      <x:c r="E81" s="172"/>
      <x:c r="F81" s="172"/>
      <x:c r="G81" s="173" t="str">
        <x:f>IF(OR(E81="",F81=""),"",E81*F81)</x:f>
      </x:c>
      <x:c r="H81" s="173" t="str">
        <x:f>IF(G81="","",IF(G81&gt;=16,"Cao",IF(G81&gt;=8,"Trung bình","Thấp")))</x:f>
      </x:c>
      <x:c r="I81" s="172"/>
      <x:c r="J81" s="174"/>
      <x:c r="K81" s="172"/>
      <x:c r="L81" s="179"/>
      <x:c r="M81" s="172"/>
      <x:c r="N81" s="174"/>
      <x:c r="O81" s="173" t="str">
        <x:f>IF(A81="","",IF(OR(J81="",K81="Closed"),0,MAX(0,TODAY()-J81)))</x:f>
      </x:c>
    </x:row>
    <x:row r="82" ht="28" customHeight="1">
      <x:c r="A82" s="172"/>
      <x:c r="B82" s="172"/>
      <x:c r="C82" s="179"/>
      <x:c r="D82" s="179"/>
      <x:c r="E82" s="172"/>
      <x:c r="F82" s="172"/>
      <x:c r="G82" s="173" t="str">
        <x:f>IF(OR(E82="",F82=""),"",E82*F82)</x:f>
      </x:c>
      <x:c r="H82" s="173" t="str">
        <x:f>IF(G82="","",IF(G82&gt;=16,"Cao",IF(G82&gt;=8,"Trung bình","Thấp")))</x:f>
      </x:c>
      <x:c r="I82" s="172"/>
      <x:c r="J82" s="174"/>
      <x:c r="K82" s="172"/>
      <x:c r="L82" s="179"/>
      <x:c r="M82" s="172"/>
      <x:c r="N82" s="174"/>
      <x:c r="O82" s="173" t="str">
        <x:f>IF(A82="","",IF(OR(J82="",K82="Closed"),0,MAX(0,TODAY()-J82)))</x:f>
      </x:c>
    </x:row>
    <x:row r="83" ht="28" customHeight="1">
      <x:c r="A83" s="172"/>
      <x:c r="B83" s="172"/>
      <x:c r="C83" s="179"/>
      <x:c r="D83" s="179"/>
      <x:c r="E83" s="172"/>
      <x:c r="F83" s="172"/>
      <x:c r="G83" s="173" t="str">
        <x:f>IF(OR(E83="",F83=""),"",E83*F83)</x:f>
      </x:c>
      <x:c r="H83" s="173" t="str">
        <x:f>IF(G83="","",IF(G83&gt;=16,"Cao",IF(G83&gt;=8,"Trung bình","Thấp")))</x:f>
      </x:c>
      <x:c r="I83" s="172"/>
      <x:c r="J83" s="174"/>
      <x:c r="K83" s="172"/>
      <x:c r="L83" s="179"/>
      <x:c r="M83" s="172"/>
      <x:c r="N83" s="174"/>
      <x:c r="O83" s="173" t="str">
        <x:f>IF(A83="","",IF(OR(J83="",K83="Closed"),0,MAX(0,TODAY()-J83)))</x:f>
      </x:c>
    </x:row>
    <x:row r="84" ht="28" customHeight="1">
      <x:c r="A84" s="172"/>
      <x:c r="B84" s="172"/>
      <x:c r="C84" s="179"/>
      <x:c r="D84" s="179"/>
      <x:c r="E84" s="172"/>
      <x:c r="F84" s="172"/>
      <x:c r="G84" s="173" t="str">
        <x:f>IF(OR(E84="",F84=""),"",E84*F84)</x:f>
      </x:c>
      <x:c r="H84" s="173" t="str">
        <x:f>IF(G84="","",IF(G84&gt;=16,"Cao",IF(G84&gt;=8,"Trung bình","Thấp")))</x:f>
      </x:c>
      <x:c r="I84" s="172"/>
      <x:c r="J84" s="174"/>
      <x:c r="K84" s="172"/>
      <x:c r="L84" s="179"/>
      <x:c r="M84" s="172"/>
      <x:c r="N84" s="174"/>
      <x:c r="O84" s="173" t="str">
        <x:f>IF(A84="","",IF(OR(J84="",K84="Closed"),0,MAX(0,TODAY()-J84)))</x:f>
      </x:c>
    </x:row>
    <x:row r="85" ht="28" customHeight="1">
      <x:c r="A85" s="172"/>
      <x:c r="B85" s="172"/>
      <x:c r="C85" s="179"/>
      <x:c r="D85" s="179"/>
      <x:c r="E85" s="172"/>
      <x:c r="F85" s="172"/>
      <x:c r="G85" s="173" t="str">
        <x:f>IF(OR(E85="",F85=""),"",E85*F85)</x:f>
      </x:c>
      <x:c r="H85" s="173" t="str">
        <x:f>IF(G85="","",IF(G85&gt;=16,"Cao",IF(G85&gt;=8,"Trung bình","Thấp")))</x:f>
      </x:c>
      <x:c r="I85" s="172"/>
      <x:c r="J85" s="174"/>
      <x:c r="K85" s="172"/>
      <x:c r="L85" s="179"/>
      <x:c r="M85" s="172"/>
      <x:c r="N85" s="174"/>
      <x:c r="O85" s="173" t="str">
        <x:f>IF(A85="","",IF(OR(J85="",K85="Closed"),0,MAX(0,TODAY()-J85)))</x:f>
      </x:c>
    </x:row>
    <x:row r="86" ht="28" customHeight="1">
      <x:c r="A86" s="172"/>
      <x:c r="B86" s="172"/>
      <x:c r="C86" s="179"/>
      <x:c r="D86" s="179"/>
      <x:c r="E86" s="172"/>
      <x:c r="F86" s="172"/>
      <x:c r="G86" s="173" t="str">
        <x:f>IF(OR(E86="",F86=""),"",E86*F86)</x:f>
      </x:c>
      <x:c r="H86" s="173" t="str">
        <x:f>IF(G86="","",IF(G86&gt;=16,"Cao",IF(G86&gt;=8,"Trung bình","Thấp")))</x:f>
      </x:c>
      <x:c r="I86" s="172"/>
      <x:c r="J86" s="174"/>
      <x:c r="K86" s="172"/>
      <x:c r="L86" s="179"/>
      <x:c r="M86" s="172"/>
      <x:c r="N86" s="174"/>
      <x:c r="O86" s="173" t="str">
        <x:f>IF(A86="","",IF(OR(J86="",K86="Closed"),0,MAX(0,TODAY()-J86)))</x:f>
      </x:c>
    </x:row>
    <x:row r="87" ht="28" customHeight="1">
      <x:c r="A87" s="172"/>
      <x:c r="B87" s="172"/>
      <x:c r="C87" s="179"/>
      <x:c r="D87" s="179"/>
      <x:c r="E87" s="172"/>
      <x:c r="F87" s="172"/>
      <x:c r="G87" s="173" t="str">
        <x:f>IF(OR(E87="",F87=""),"",E87*F87)</x:f>
      </x:c>
      <x:c r="H87" s="173" t="str">
        <x:f>IF(G87="","",IF(G87&gt;=16,"Cao",IF(G87&gt;=8,"Trung bình","Thấp")))</x:f>
      </x:c>
      <x:c r="I87" s="172"/>
      <x:c r="J87" s="174"/>
      <x:c r="K87" s="172"/>
      <x:c r="L87" s="179"/>
      <x:c r="M87" s="172"/>
      <x:c r="N87" s="174"/>
      <x:c r="O87" s="173" t="str">
        <x:f>IF(A87="","",IF(OR(J87="",K87="Closed"),0,MAX(0,TODAY()-J87)))</x:f>
      </x:c>
    </x:row>
    <x:row r="88" ht="28" customHeight="1">
      <x:c r="A88" s="172"/>
      <x:c r="B88" s="172"/>
      <x:c r="C88" s="179"/>
      <x:c r="D88" s="179"/>
      <x:c r="E88" s="172"/>
      <x:c r="F88" s="172"/>
      <x:c r="G88" s="173" t="str">
        <x:f>IF(OR(E88="",F88=""),"",E88*F88)</x:f>
      </x:c>
      <x:c r="H88" s="173" t="str">
        <x:f>IF(G88="","",IF(G88&gt;=16,"Cao",IF(G88&gt;=8,"Trung bình","Thấp")))</x:f>
      </x:c>
      <x:c r="I88" s="172"/>
      <x:c r="J88" s="174"/>
      <x:c r="K88" s="172"/>
      <x:c r="L88" s="179"/>
      <x:c r="M88" s="172"/>
      <x:c r="N88" s="174"/>
      <x:c r="O88" s="173" t="str">
        <x:f>IF(A88="","",IF(OR(J88="",K88="Closed"),0,MAX(0,TODAY()-J88)))</x:f>
      </x:c>
    </x:row>
    <x:row r="89" ht="28" customHeight="1">
      <x:c r="A89" s="172"/>
      <x:c r="B89" s="172"/>
      <x:c r="C89" s="179"/>
      <x:c r="D89" s="179"/>
      <x:c r="E89" s="172"/>
      <x:c r="F89" s="172"/>
      <x:c r="G89" s="173" t="str">
        <x:f>IF(OR(E89="",F89=""),"",E89*F89)</x:f>
      </x:c>
      <x:c r="H89" s="173" t="str">
        <x:f>IF(G89="","",IF(G89&gt;=16,"Cao",IF(G89&gt;=8,"Trung bình","Thấp")))</x:f>
      </x:c>
      <x:c r="I89" s="172"/>
      <x:c r="J89" s="174"/>
      <x:c r="K89" s="172"/>
      <x:c r="L89" s="179"/>
      <x:c r="M89" s="172"/>
      <x:c r="N89" s="174"/>
      <x:c r="O89" s="173" t="str">
        <x:f>IF(A89="","",IF(OR(J89="",K89="Closed"),0,MAX(0,TODAY()-J89)))</x:f>
      </x:c>
    </x:row>
    <x:row r="90" ht="28" customHeight="1">
      <x:c r="A90" s="172"/>
      <x:c r="B90" s="172"/>
      <x:c r="C90" s="179"/>
      <x:c r="D90" s="179"/>
      <x:c r="E90" s="172"/>
      <x:c r="F90" s="172"/>
      <x:c r="G90" s="173" t="str">
        <x:f>IF(OR(E90="",F90=""),"",E90*F90)</x:f>
      </x:c>
      <x:c r="H90" s="173" t="str">
        <x:f>IF(G90="","",IF(G90&gt;=16,"Cao",IF(G90&gt;=8,"Trung bình","Thấp")))</x:f>
      </x:c>
      <x:c r="I90" s="172"/>
      <x:c r="J90" s="174"/>
      <x:c r="K90" s="172"/>
      <x:c r="L90" s="179"/>
      <x:c r="M90" s="172"/>
      <x:c r="N90" s="174"/>
      <x:c r="O90" s="173" t="str">
        <x:f>IF(A90="","",IF(OR(J90="",K90="Closed"),0,MAX(0,TODAY()-J90)))</x:f>
      </x:c>
    </x:row>
    <x:row r="91" ht="28" customHeight="1">
      <x:c r="A91" s="172"/>
      <x:c r="B91" s="172"/>
      <x:c r="C91" s="179"/>
      <x:c r="D91" s="179"/>
      <x:c r="E91" s="172"/>
      <x:c r="F91" s="172"/>
      <x:c r="G91" s="173" t="str">
        <x:f>IF(OR(E91="",F91=""),"",E91*F91)</x:f>
      </x:c>
      <x:c r="H91" s="173" t="str">
        <x:f>IF(G91="","",IF(G91&gt;=16,"Cao",IF(G91&gt;=8,"Trung bình","Thấp")))</x:f>
      </x:c>
      <x:c r="I91" s="172"/>
      <x:c r="J91" s="174"/>
      <x:c r="K91" s="172"/>
      <x:c r="L91" s="179"/>
      <x:c r="M91" s="172"/>
      <x:c r="N91" s="174"/>
      <x:c r="O91" s="173" t="str">
        <x:f>IF(A91="","",IF(OR(J91="",K91="Closed"),0,MAX(0,TODAY()-J91)))</x:f>
      </x:c>
    </x:row>
    <x:row r="92" ht="28" customHeight="1">
      <x:c r="A92" s="172"/>
      <x:c r="B92" s="172"/>
      <x:c r="C92" s="179"/>
      <x:c r="D92" s="179"/>
      <x:c r="E92" s="172"/>
      <x:c r="F92" s="172"/>
      <x:c r="G92" s="173" t="str">
        <x:f>IF(OR(E92="",F92=""),"",E92*F92)</x:f>
      </x:c>
      <x:c r="H92" s="173" t="str">
        <x:f>IF(G92="","",IF(G92&gt;=16,"Cao",IF(G92&gt;=8,"Trung bình","Thấp")))</x:f>
      </x:c>
      <x:c r="I92" s="172"/>
      <x:c r="J92" s="174"/>
      <x:c r="K92" s="172"/>
      <x:c r="L92" s="179"/>
      <x:c r="M92" s="172"/>
      <x:c r="N92" s="174"/>
      <x:c r="O92" s="173" t="str">
        <x:f>IF(A92="","",IF(OR(J92="",K92="Closed"),0,MAX(0,TODAY()-J92)))</x:f>
      </x:c>
    </x:row>
    <x:row r="93" ht="28" customHeight="1">
      <x:c r="A93" s="172"/>
      <x:c r="B93" s="172"/>
      <x:c r="C93" s="179"/>
      <x:c r="D93" s="179"/>
      <x:c r="E93" s="172"/>
      <x:c r="F93" s="172"/>
      <x:c r="G93" s="173" t="str">
        <x:f>IF(OR(E93="",F93=""),"",E93*F93)</x:f>
      </x:c>
      <x:c r="H93" s="173" t="str">
        <x:f>IF(G93="","",IF(G93&gt;=16,"Cao",IF(G93&gt;=8,"Trung bình","Thấp")))</x:f>
      </x:c>
      <x:c r="I93" s="172"/>
      <x:c r="J93" s="174"/>
      <x:c r="K93" s="172"/>
      <x:c r="L93" s="179"/>
      <x:c r="M93" s="172"/>
      <x:c r="N93" s="174"/>
      <x:c r="O93" s="173" t="str">
        <x:f>IF(A93="","",IF(OR(J93="",K93="Closed"),0,MAX(0,TODAY()-J93)))</x:f>
      </x:c>
    </x:row>
    <x:row r="94" ht="28" customHeight="1">
      <x:c r="A94" s="172"/>
      <x:c r="B94" s="172"/>
      <x:c r="C94" s="179"/>
      <x:c r="D94" s="179"/>
      <x:c r="E94" s="172"/>
      <x:c r="F94" s="172"/>
      <x:c r="G94" s="173" t="str">
        <x:f>IF(OR(E94="",F94=""),"",E94*F94)</x:f>
      </x:c>
      <x:c r="H94" s="173" t="str">
        <x:f>IF(G94="","",IF(G94&gt;=16,"Cao",IF(G94&gt;=8,"Trung bình","Thấp")))</x:f>
      </x:c>
      <x:c r="I94" s="172"/>
      <x:c r="J94" s="174"/>
      <x:c r="K94" s="172"/>
      <x:c r="L94" s="179"/>
      <x:c r="M94" s="172"/>
      <x:c r="N94" s="174"/>
      <x:c r="O94" s="173" t="str">
        <x:f>IF(A94="","",IF(OR(J94="",K94="Closed"),0,MAX(0,TODAY()-J94)))</x:f>
      </x:c>
    </x:row>
    <x:row r="95" ht="28" customHeight="1">
      <x:c r="A95" s="172"/>
      <x:c r="B95" s="172"/>
      <x:c r="C95" s="179"/>
      <x:c r="D95" s="179"/>
      <x:c r="E95" s="172"/>
      <x:c r="F95" s="172"/>
      <x:c r="G95" s="173" t="str">
        <x:f>IF(OR(E95="",F95=""),"",E95*F95)</x:f>
      </x:c>
      <x:c r="H95" s="173" t="str">
        <x:f>IF(G95="","",IF(G95&gt;=16,"Cao",IF(G95&gt;=8,"Trung bình","Thấp")))</x:f>
      </x:c>
      <x:c r="I95" s="172"/>
      <x:c r="J95" s="174"/>
      <x:c r="K95" s="172"/>
      <x:c r="L95" s="179"/>
      <x:c r="M95" s="172"/>
      <x:c r="N95" s="174"/>
      <x:c r="O95" s="173" t="str">
        <x:f>IF(A95="","",IF(OR(J95="",K95="Closed"),0,MAX(0,TODAY()-J95)))</x:f>
      </x:c>
    </x:row>
    <x:row r="96" ht="28" customHeight="1">
      <x:c r="A96" s="172"/>
      <x:c r="B96" s="172"/>
      <x:c r="C96" s="179"/>
      <x:c r="D96" s="179"/>
      <x:c r="E96" s="172"/>
      <x:c r="F96" s="172"/>
      <x:c r="G96" s="173" t="str">
        <x:f>IF(OR(E96="",F96=""),"",E96*F96)</x:f>
      </x:c>
      <x:c r="H96" s="173" t="str">
        <x:f>IF(G96="","",IF(G96&gt;=16,"Cao",IF(G96&gt;=8,"Trung bình","Thấp")))</x:f>
      </x:c>
      <x:c r="I96" s="172"/>
      <x:c r="J96" s="174"/>
      <x:c r="K96" s="172"/>
      <x:c r="L96" s="179"/>
      <x:c r="M96" s="172"/>
      <x:c r="N96" s="174"/>
      <x:c r="O96" s="173" t="str">
        <x:f>IF(A96="","",IF(OR(J96="",K96="Closed"),0,MAX(0,TODAY()-J96)))</x:f>
      </x:c>
    </x:row>
    <x:row r="97" ht="28" customHeight="1">
      <x:c r="A97" s="172"/>
      <x:c r="B97" s="172"/>
      <x:c r="C97" s="179"/>
      <x:c r="D97" s="179"/>
      <x:c r="E97" s="172"/>
      <x:c r="F97" s="172"/>
      <x:c r="G97" s="173" t="str">
        <x:f>IF(OR(E97="",F97=""),"",E97*F97)</x:f>
      </x:c>
      <x:c r="H97" s="173" t="str">
        <x:f>IF(G97="","",IF(G97&gt;=16,"Cao",IF(G97&gt;=8,"Trung bình","Thấp")))</x:f>
      </x:c>
      <x:c r="I97" s="172"/>
      <x:c r="J97" s="174"/>
      <x:c r="K97" s="172"/>
      <x:c r="L97" s="179"/>
      <x:c r="M97" s="172"/>
      <x:c r="N97" s="174"/>
      <x:c r="O97" s="173" t="str">
        <x:f>IF(A97="","",IF(OR(J97="",K97="Closed"),0,MAX(0,TODAY()-J97)))</x:f>
      </x:c>
    </x:row>
    <x:row r="98" ht="28" customHeight="1">
      <x:c r="A98" s="172"/>
      <x:c r="B98" s="172"/>
      <x:c r="C98" s="179"/>
      <x:c r="D98" s="179"/>
      <x:c r="E98" s="172"/>
      <x:c r="F98" s="172"/>
      <x:c r="G98" s="173" t="str">
        <x:f>IF(OR(E98="",F98=""),"",E98*F98)</x:f>
      </x:c>
      <x:c r="H98" s="173" t="str">
        <x:f>IF(G98="","",IF(G98&gt;=16,"Cao",IF(G98&gt;=8,"Trung bình","Thấp")))</x:f>
      </x:c>
      <x:c r="I98" s="172"/>
      <x:c r="J98" s="174"/>
      <x:c r="K98" s="172"/>
      <x:c r="L98" s="179"/>
      <x:c r="M98" s="172"/>
      <x:c r="N98" s="174"/>
      <x:c r="O98" s="173" t="str">
        <x:f>IF(A98="","",IF(OR(J98="",K98="Closed"),0,MAX(0,TODAY()-J98)))</x:f>
      </x:c>
    </x:row>
    <x:row r="99" ht="28" customHeight="1">
      <x:c r="A99" s="172"/>
      <x:c r="B99" s="172"/>
      <x:c r="C99" s="179"/>
      <x:c r="D99" s="179"/>
      <x:c r="E99" s="172"/>
      <x:c r="F99" s="172"/>
      <x:c r="G99" s="173" t="str">
        <x:f>IF(OR(E99="",F99=""),"",E99*F99)</x:f>
      </x:c>
      <x:c r="H99" s="173" t="str">
        <x:f>IF(G99="","",IF(G99&gt;=16,"Cao",IF(G99&gt;=8,"Trung bình","Thấp")))</x:f>
      </x:c>
      <x:c r="I99" s="172"/>
      <x:c r="J99" s="174"/>
      <x:c r="K99" s="172"/>
      <x:c r="L99" s="179"/>
      <x:c r="M99" s="172"/>
      <x:c r="N99" s="174"/>
      <x:c r="O99" s="173" t="str">
        <x:f>IF(A99="","",IF(OR(J99="",K99="Closed"),0,MAX(0,TODAY()-J99)))</x:f>
      </x:c>
    </x:row>
    <x:row r="100" ht="28" customHeight="1">
      <x:c r="A100" s="172"/>
      <x:c r="B100" s="172"/>
      <x:c r="C100" s="179"/>
      <x:c r="D100" s="179"/>
      <x:c r="E100" s="172"/>
      <x:c r="F100" s="172"/>
      <x:c r="G100" s="173" t="str">
        <x:f>IF(OR(E100="",F100=""),"",E100*F100)</x:f>
      </x:c>
      <x:c r="H100" s="173" t="str">
        <x:f>IF(G100="","",IF(G100&gt;=16,"Cao",IF(G100&gt;=8,"Trung bình","Thấp")))</x:f>
      </x:c>
      <x:c r="I100" s="172"/>
      <x:c r="J100" s="174"/>
      <x:c r="K100" s="172"/>
      <x:c r="L100" s="179"/>
      <x:c r="M100" s="172"/>
      <x:c r="N100" s="174"/>
      <x:c r="O100" s="173" t="str">
        <x:f>IF(A100="","",IF(OR(J100="",K100="Closed"),0,MAX(0,TODAY()-J100)))</x:f>
      </x:c>
    </x:row>
    <x:row r="101" ht="28" customHeight="1">
      <x:c r="A101" s="172"/>
      <x:c r="B101" s="172"/>
      <x:c r="C101" s="179"/>
      <x:c r="D101" s="179"/>
      <x:c r="E101" s="172"/>
      <x:c r="F101" s="172"/>
      <x:c r="G101" s="173" t="str">
        <x:f>IF(OR(E101="",F101=""),"",E101*F101)</x:f>
      </x:c>
      <x:c r="H101" s="173" t="str">
        <x:f>IF(G101="","",IF(G101&gt;=16,"Cao",IF(G101&gt;=8,"Trung bình","Thấp")))</x:f>
      </x:c>
      <x:c r="I101" s="172"/>
      <x:c r="J101" s="174"/>
      <x:c r="K101" s="172"/>
      <x:c r="L101" s="179"/>
      <x:c r="M101" s="172"/>
      <x:c r="N101" s="174"/>
      <x:c r="O101" s="173" t="str">
        <x:f>IF(A101="","",IF(OR(J101="",K101="Closed"),0,MAX(0,TODAY()-J101)))</x:f>
      </x:c>
    </x:row>
    <x:row r="102" ht="28" customHeight="1">
      <x:c r="A102" s="172"/>
      <x:c r="B102" s="172"/>
      <x:c r="C102" s="179"/>
      <x:c r="D102" s="179"/>
      <x:c r="E102" s="172"/>
      <x:c r="F102" s="172"/>
      <x:c r="G102" s="173" t="str">
        <x:f>IF(OR(E102="",F102=""),"",E102*F102)</x:f>
      </x:c>
      <x:c r="H102" s="173" t="str">
        <x:f>IF(G102="","",IF(G102&gt;=16,"Cao",IF(G102&gt;=8,"Trung bình","Thấp")))</x:f>
      </x:c>
      <x:c r="I102" s="172"/>
      <x:c r="J102" s="174"/>
      <x:c r="K102" s="172"/>
      <x:c r="L102" s="179"/>
      <x:c r="M102" s="172"/>
      <x:c r="N102" s="174"/>
      <x:c r="O102" s="173" t="str">
        <x:f>IF(A102="","",IF(OR(J102="",K102="Closed"),0,MAX(0,TODAY()-J102)))</x:f>
      </x:c>
    </x:row>
    <x:row r="103" ht="28" customHeight="1">
      <x:c r="A103" s="172"/>
      <x:c r="B103" s="172"/>
      <x:c r="C103" s="179"/>
      <x:c r="D103" s="179"/>
      <x:c r="E103" s="172"/>
      <x:c r="F103" s="172"/>
      <x:c r="G103" s="173" t="str">
        <x:f>IF(OR(E103="",F103=""),"",E103*F103)</x:f>
      </x:c>
      <x:c r="H103" s="173" t="str">
        <x:f>IF(G103="","",IF(G103&gt;=16,"Cao",IF(G103&gt;=8,"Trung bình","Thấp")))</x:f>
      </x:c>
      <x:c r="I103" s="172"/>
      <x:c r="J103" s="174"/>
      <x:c r="K103" s="172"/>
      <x:c r="L103" s="179"/>
      <x:c r="M103" s="172"/>
      <x:c r="N103" s="174"/>
      <x:c r="O103" s="173" t="str">
        <x:f>IF(A103="","",IF(OR(J103="",K103="Closed"),0,MAX(0,TODAY()-J103)))</x:f>
      </x:c>
    </x:row>
    <x:row r="104" ht="28" customHeight="1">
      <x:c r="A104" s="172"/>
      <x:c r="B104" s="172"/>
      <x:c r="C104" s="179"/>
      <x:c r="D104" s="179"/>
      <x:c r="E104" s="172"/>
      <x:c r="F104" s="172"/>
      <x:c r="G104" s="173" t="str">
        <x:f>IF(OR(E104="",F104=""),"",E104*F104)</x:f>
      </x:c>
      <x:c r="H104" s="173" t="str">
        <x:f>IF(G104="","",IF(G104&gt;=16,"Cao",IF(G104&gt;=8,"Trung bình","Thấp")))</x:f>
      </x:c>
      <x:c r="I104" s="172"/>
      <x:c r="J104" s="174"/>
      <x:c r="K104" s="172"/>
      <x:c r="L104" s="179"/>
      <x:c r="M104" s="172"/>
      <x:c r="N104" s="174"/>
      <x:c r="O104" s="173" t="str">
        <x:f>IF(A104="","",IF(OR(J104="",K104="Closed"),0,MAX(0,TODAY()-J104)))</x:f>
      </x:c>
    </x:row>
    <x:row r="105" ht="28" customHeight="1">
      <x:c r="A105" s="175"/>
      <x:c r="B105" s="175"/>
      <x:c r="C105" s="180"/>
      <x:c r="D105" s="180"/>
      <x:c r="E105" s="175"/>
      <x:c r="F105" s="175"/>
      <x:c r="G105" s="176" t="str">
        <x:f>IF(OR(E105="",F105=""),"",E105*F105)</x:f>
      </x:c>
      <x:c r="H105" s="176" t="str">
        <x:f>IF(G105="","",IF(G105&gt;=16,"Cao",IF(G105&gt;=8,"Trung bình","Thấp")))</x:f>
      </x:c>
      <x:c r="I105" s="175"/>
      <x:c r="J105" s="177"/>
      <x:c r="K105" s="175"/>
      <x:c r="L105" s="180"/>
      <x:c r="M105" s="175"/>
      <x:c r="N105" s="177"/>
      <x:c r="O105" s="176" t="str">
        <x:f>IF(A105="","",IF(OR(J105="",K105="Closed"),0,MAX(0,TODAY()-J105)))</x:f>
      </x:c>
    </x:row>
  </x:sheetData>
  <x:mergeCells>
    <x:mergeCell ref="A1:O1"/>
    <x:mergeCell ref="A2:O2"/>
  </x:mergeCells>
  <x:conditionalFormatting sqref="H6:H105">
    <x:cfRule type="containsText" dxfId="25" priority="1" operator="containsText" text="Cao"/>
    <x:cfRule type="containsText" dxfId="26" priority="2" operator="containsText" text="Trung bình"/>
  </x:conditionalFormatting>
  <x:conditionalFormatting sqref="O6:O105">
    <x:cfRule type="cellIs" dxfId="27" priority="3" operator="greaterThan">
      <x:formula>0</x:formula>
    </x:cfRule>
  </x:conditionalFormatting>
  <x:dataValidations count="4">
    <x:dataValidation type="list" sqref="B6:B105">
      <x:formula1>"Risk,Assumption,Issue,Decision"</x:formula1>
    </x:dataValidation>
    <x:dataValidation type="whole" operator="between" sqref="E6:F105">
      <x:formula1>1</x:formula1>
      <x:formula2>5</x:formula2>
    </x:dataValidation>
    <x:dataValidation type="list" sqref="I6:I105">
      <x:formula1>'Cấu hình'!$M$12:$M$31</x:formula1>
    </x:dataValidation>
    <x:dataValidation type="list" sqref="K6:K105">
      <x:formula1>"Open,Monitoring,Mitigated,Closed"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7a2105a0e943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2" customHeight="1">
      <x:c r="A1" s="3" t="str">
        <x:v>CẤU HÌNH &amp; QUY ƯỚC</x:v>
      </x:c>
      <x:c r="B1" s="3" t="str">
        <x:v>CẤU HÌNH &amp; QUY ƯỚC</x:v>
      </x:c>
      <x:c r="C1" s="3" t="str">
        <x:v>CẤU HÌNH &amp; QUY ƯỚC</x:v>
      </x:c>
      <x:c r="D1" s="3" t="str">
        <x:v>CẤU HÌNH &amp; QUY ƯỚC</x:v>
      </x:c>
      <x:c r="E1" s="3" t="str">
        <x:v>CẤU HÌNH &amp; QUY ƯỚC</x:v>
      </x:c>
      <x:c r="F1" s="3" t="str">
        <x:v>CẤU HÌNH &amp; QUY ƯỚC</x:v>
      </x:c>
      <x:c r="G1" s="3" t="str">
        <x:v>CẤU HÌNH &amp; QUY ƯỚC</x:v>
      </x:c>
      <x:c r="H1" s="3" t="str">
        <x:v>CẤU HÌNH &amp; QUY ƯỚC</x:v>
      </x:c>
      <x:c r="I1" s="3" t="str">
        <x:v>CẤU HÌNH &amp; QUY ƯỚC</x:v>
      </x:c>
      <x:c r="J1" s="3" t="str">
        <x:v>CẤU HÌNH &amp; QUY ƯỚC</x:v>
      </x:c>
      <x:c r="K1" s="3" t="str">
        <x:v>CẤU HÌNH &amp; QUY ƯỚC</x:v>
      </x:c>
      <x:c r="L1" s="3" t="str">
        <x:v>CẤU HÌNH &amp; QUY ƯỚC</x:v>
      </x:c>
      <x:c r="M1" s="3" t="str">
        <x:v>CẤU HÌNH &amp; QUY ƯỚC</x:v>
      </x:c>
      <x:c r="N1" s="3" t="str">
        <x:v>CẤU HÌNH &amp; QUY ƯỚC</x:v>
      </x:c>
      <x:c r="O1" s="3" t="str">
        <x:v>CẤU HÌNH &amp; QUY ƯỚC</x:v>
      </x:c>
      <x:c r="P1" s="3" t="str">
        <x:v>CẤU HÌNH &amp; QUY ƯỚC</x:v>
      </x:c>
      <x:c r="Q1" s="3" t="str">
        <x:v>CẤU HÌNH &amp; QUY ƯỚC</x:v>
      </x:c>
      <x:c r="R1" s="3" t="str">
        <x:v>CẤU HÌNH &amp; QUY ƯỚC</x:v>
      </x:c>
      <x:c r="S1" s="3" t="str">
        <x:v>CẤU HÌNH &amp; QUY ƯỚC</x:v>
      </x:c>
      <x:c r="T1" s="3" t="str">
        <x:v>CẤU HÌNH &amp; QUY ƯỚC</x:v>
      </x:c>
      <x:c r="U1" s="3" t="str">
        <x:v>CẤU HÌNH &amp; QUY ƯỚC</x:v>
      </x:c>
      <x:c r="V1" s="3" t="str">
        <x:v>CẤU HÌNH &amp; QUY ƯỚC</x:v>
      </x:c>
      <x:c r="W1" s="3" t="str">
        <x:v>CẤU HÌNH &amp; QUY ƯỚC</x:v>
      </x:c>
    </x:row>
    <x:row r="2" ht="28" customHeight="1">
      <x:c r="A2" s="7" t="str">
        <x:v>Chỉ chỉnh các ô nền vàng và danh mục bên dưới. Dashboard, báo cáo, SLA, validation và biểu đồ đều tham chiếu về đây.</x:v>
      </x:c>
      <x:c r="B2" s="7" t="str">
        <x:v>Chỉ chỉnh các ô nền vàng và danh mục bên dưới. Dashboard, báo cáo, SLA, validation và biểu đồ đều tham chiếu về đây.</x:v>
      </x:c>
      <x:c r="C2" s="7" t="str">
        <x:v>Chỉ chỉnh các ô nền vàng và danh mục bên dưới. Dashboard, báo cáo, SLA, validation và biểu đồ đều tham chiếu về đây.</x:v>
      </x:c>
      <x:c r="D2" s="7" t="str">
        <x:v>Chỉ chỉnh các ô nền vàng và danh mục bên dưới. Dashboard, báo cáo, SLA, validation và biểu đồ đều tham chiếu về đây.</x:v>
      </x:c>
      <x:c r="E2" s="7" t="str">
        <x:v>Chỉ chỉnh các ô nền vàng và danh mục bên dưới. Dashboard, báo cáo, SLA, validation và biểu đồ đều tham chiếu về đây.</x:v>
      </x:c>
      <x:c r="F2" s="7" t="str">
        <x:v>Chỉ chỉnh các ô nền vàng và danh mục bên dưới. Dashboard, báo cáo, SLA, validation và biểu đồ đều tham chiếu về đây.</x:v>
      </x:c>
      <x:c r="G2" s="7" t="str">
        <x:v>Chỉ chỉnh các ô nền vàng và danh mục bên dưới. Dashboard, báo cáo, SLA, validation và biểu đồ đều tham chiếu về đây.</x:v>
      </x:c>
      <x:c r="H2" s="7" t="str">
        <x:v>Chỉ chỉnh các ô nền vàng và danh mục bên dưới. Dashboard, báo cáo, SLA, validation và biểu đồ đều tham chiếu về đây.</x:v>
      </x:c>
      <x:c r="I2" s="7" t="str">
        <x:v>Chỉ chỉnh các ô nền vàng và danh mục bên dưới. Dashboard, báo cáo, SLA, validation và biểu đồ đều tham chiếu về đây.</x:v>
      </x:c>
      <x:c r="J2" s="7" t="str">
        <x:v>Chỉ chỉnh các ô nền vàng và danh mục bên dưới. Dashboard, báo cáo, SLA, validation và biểu đồ đều tham chiếu về đây.</x:v>
      </x:c>
      <x:c r="K2" s="7" t="str">
        <x:v>Chỉ chỉnh các ô nền vàng và danh mục bên dưới. Dashboard, báo cáo, SLA, validation và biểu đồ đều tham chiếu về đây.</x:v>
      </x:c>
      <x:c r="L2" s="7" t="str">
        <x:v>Chỉ chỉnh các ô nền vàng và danh mục bên dưới. Dashboard, báo cáo, SLA, validation và biểu đồ đều tham chiếu về đây.</x:v>
      </x:c>
      <x:c r="M2" s="7" t="str">
        <x:v>Chỉ chỉnh các ô nền vàng và danh mục bên dưới. Dashboard, báo cáo, SLA, validation và biểu đồ đều tham chiếu về đây.</x:v>
      </x:c>
      <x:c r="N2" s="7" t="str">
        <x:v>Chỉ chỉnh các ô nền vàng và danh mục bên dưới. Dashboard, báo cáo, SLA, validation và biểu đồ đều tham chiếu về đây.</x:v>
      </x:c>
      <x:c r="O2" s="7" t="str">
        <x:v>Chỉ chỉnh các ô nền vàng và danh mục bên dưới. Dashboard, báo cáo, SLA, validation và biểu đồ đều tham chiếu về đây.</x:v>
      </x:c>
      <x:c r="P2" s="7" t="str">
        <x:v>Chỉ chỉnh các ô nền vàng và danh mục bên dưới. Dashboard, báo cáo, SLA, validation và biểu đồ đều tham chiếu về đây.</x:v>
      </x:c>
      <x:c r="Q2" s="7" t="str">
        <x:v>Chỉ chỉnh các ô nền vàng và danh mục bên dưới. Dashboard, báo cáo, SLA, validation và biểu đồ đều tham chiếu về đây.</x:v>
      </x:c>
      <x:c r="R2" s="7" t="str">
        <x:v>Chỉ chỉnh các ô nền vàng và danh mục bên dưới. Dashboard, báo cáo, SLA, validation và biểu đồ đều tham chiếu về đây.</x:v>
      </x:c>
      <x:c r="S2" s="7" t="str">
        <x:v>Chỉ chỉnh các ô nền vàng và danh mục bên dưới. Dashboard, báo cáo, SLA, validation và biểu đồ đều tham chiếu về đây.</x:v>
      </x:c>
      <x:c r="T2" s="7" t="str">
        <x:v>Chỉ chỉnh các ô nền vàng và danh mục bên dưới. Dashboard, báo cáo, SLA, validation và biểu đồ đều tham chiếu về đây.</x:v>
      </x:c>
      <x:c r="U2" s="7" t="str">
        <x:v>Chỉ chỉnh các ô nền vàng và danh mục bên dưới. Dashboard, báo cáo, SLA, validation và biểu đồ đều tham chiếu về đây.</x:v>
      </x:c>
      <x:c r="V2" s="7" t="str">
        <x:v>Chỉ chỉnh các ô nền vàng và danh mục bên dưới. Dashboard, báo cáo, SLA, validation và biểu đồ đều tham chiếu về đây.</x:v>
      </x:c>
      <x:c r="W2" s="7" t="str">
        <x:v>Chỉ chỉnh các ô nền vàng và danh mục bên dưới. Dashboard, báo cáo, SLA, validation và biểu đồ đều tham chiếu về đây.</x:v>
      </x:c>
    </x:row>
    <x:row r="4" ht="22" customHeight="1">
      <x:c r="A4" s="10" t="str">
        <x:v>THAM SỐ VẬN HÀNH</x:v>
      </x:c>
      <x:c r="B4" s="10" t="str">
        <x:v>THAM SỐ VẬN HÀNH</x:v>
      </x:c>
      <x:c r="C4" s="10" t="str">
        <x:v>THAM SỐ VẬN HÀNH</x:v>
      </x:c>
      <x:c r="D4" s="10" t="str">
        <x:v>THAM SỐ VẬN HÀNH</x:v>
      </x:c>
    </x:row>
    <x:row r="5">
      <x:c r="A5" s="11" t="str">
        <x:v>Sprint đang báo cáo</x:v>
      </x:c>
      <x:c r="B5" s="14" t="str">
        <x:v>Sprint 24</x:v>
      </x:c>
      <x:c r="C5" s="11" t="str">
        <x:v>Ngưỡng lệch burndown</x:v>
      </x:c>
      <x:c r="D5" s="19" t="n">
        <x:v>0.1</x:v>
      </x:c>
    </x:row>
    <x:row r="6">
      <x:c r="A6" s="11" t="str">
        <x:v>Ngày bắt đầu sprint</x:v>
      </x:c>
      <x:c r="B6" s="18" t="n">
        <x:v>46217</x:v>
      </x:c>
    </x:row>
    <x:row r="7">
      <x:c r="A7" s="11" t="str">
        <x:v>Ngày kết thúc sprint</x:v>
      </x:c>
      <x:c r="B7" s="18" t="n">
        <x:v>46230</x:v>
      </x:c>
    </x:row>
    <x:row r="8">
      <x:c r="A8" s="11" t="str">
        <x:v>Capacity toàn đội (SP)</x:v>
      </x:c>
      <x:c r="B8" s="15" t="n">
        <x:v>72</x:v>
      </x:c>
    </x:row>
    <x:row r="9">
      <x:c r="A9" s="11" t="str">
        <x:v>Ngày báo cáo</x:v>
      </x:c>
      <x:c r="B9" s="18" t="n">
        <x:f>TODAY()</x:f>
        <x:v>46223</x:v>
      </x:c>
    </x:row>
    <x:row r="10">
      <x:c r="A10" s="11" t="str">
        <x:v>Ngưỡng task stale (ngày)</x:v>
      </x:c>
      <x:c r="B10" s="16" t="n">
        <x:v>7</x:v>
      </x:c>
    </x:row>
    <x:row r="11" ht="34" customHeight="1">
      <x:c r="A11" s="30" t="str">
        <x:v>Trạng thái</x:v>
      </x:c>
      <x:c r="B11" s="31" t="str">
        <x:v>Tiến độ</x:v>
      </x:c>
      <x:c r="C11" s="31" t="str">
        <x:v>Nhóm</x:v>
      </x:c>
      <x:c r="D11" s="32" t="str">
        <x:v>Thứ tự</x:v>
      </x:c>
      <x:c r="E11" s="30" t="str">
        <x:v>Ưu tiên</x:v>
      </x:c>
      <x:c r="F11" s="31" t="str">
        <x:v>Trọng số</x:v>
      </x:c>
      <x:c r="G11" s="32" t="str">
        <x:v>SLA (ngày)</x:v>
      </x:c>
      <x:c r="I11" s="36" t="str">
        <x:v>Loại task</x:v>
      </x:c>
      <x:c r="K11" s="36" t="str">
        <x:v>Sprint</x:v>
      </x:c>
      <x:c r="M11" s="36" t="str">
        <x:v>Thành viên</x:v>
      </x:c>
      <x:c r="Q11" s="36" t="str">
        <x:v>Blocked?</x:v>
      </x:c>
      <x:c r="S11" s="36" t="str">
        <x:v>Rủi ro</x:v>
      </x:c>
      <x:c r="U11" s="36" t="str">
        <x:v>Release</x:v>
      </x:c>
      <x:c r="W11" s="36" t="str">
        <x:v>Môi trường</x:v>
      </x:c>
    </x:row>
    <x:row r="12">
      <x:c r="A12" s="39" t="str">
        <x:v>Backlog</x:v>
      </x:c>
      <x:c r="B12" s="40" t="n">
        <x:v>0</x:v>
      </x:c>
      <x:c r="C12" s="39" t="str">
        <x:v>Mở</x:v>
      </x:c>
      <x:c r="D12" s="39" t="n">
        <x:v>1</x:v>
      </x:c>
      <x:c r="E12" s="39" t="str">
        <x:v>P0 - Critical</x:v>
      </x:c>
      <x:c r="F12" s="39" t="n">
        <x:v>4</x:v>
      </x:c>
      <x:c r="G12" s="39" t="n">
        <x:v>1</x:v>
      </x:c>
      <x:c r="H12" s="39"/>
      <x:c r="I12" s="39" t="str">
        <x:v>Story</x:v>
      </x:c>
      <x:c r="J12" s="39"/>
      <x:c r="K12" s="39" t="str">
        <x:v>Backlog</x:v>
      </x:c>
      <x:c r="L12" s="39"/>
      <x:c r="M12" s="39" t="str">
        <x:v>Nguyễn An</x:v>
      </x:c>
      <x:c r="N12" s="39"/>
      <x:c r="O12" s="39"/>
      <x:c r="P12" s="39"/>
      <x:c r="Q12" s="39" t="str">
        <x:v>Không</x:v>
      </x:c>
      <x:c r="R12" s="39"/>
      <x:c r="S12" s="39" t="str">
        <x:v>Thấp</x:v>
      </x:c>
      <x:c r="T12" s="39"/>
      <x:c r="U12" s="39" t="str">
        <x:v>R2026.07</x:v>
      </x:c>
      <x:c r="V12" s="39"/>
      <x:c r="W12" s="39" t="str">
        <x:v>Local</x:v>
      </x:c>
    </x:row>
    <x:row r="13">
      <x:c r="A13" s="41" t="str">
        <x:v>Ready</x:v>
      </x:c>
      <x:c r="B13" s="42" t="n">
        <x:v>0.1</x:v>
      </x:c>
      <x:c r="C13" s="41" t="str">
        <x:v>Mở</x:v>
      </x:c>
      <x:c r="D13" s="41" t="n">
        <x:v>2</x:v>
      </x:c>
      <x:c r="E13" s="41" t="str">
        <x:v>P1 - High</x:v>
      </x:c>
      <x:c r="F13" s="41" t="n">
        <x:v>3</x:v>
      </x:c>
      <x:c r="G13" s="41" t="n">
        <x:v>3</x:v>
      </x:c>
      <x:c r="H13" s="41"/>
      <x:c r="I13" s="41" t="str">
        <x:v>Bug</x:v>
      </x:c>
      <x:c r="J13" s="41"/>
      <x:c r="K13" s="41" t="str">
        <x:v>Sprint 21</x:v>
      </x:c>
      <x:c r="L13" s="41"/>
      <x:c r="M13" s="41" t="str">
        <x:v>Trần Bình</x:v>
      </x:c>
      <x:c r="N13" s="41"/>
      <x:c r="O13" s="41"/>
      <x:c r="P13" s="41"/>
      <x:c r="Q13" s="41" t="str">
        <x:v>Có</x:v>
      </x:c>
      <x:c r="R13" s="41"/>
      <x:c r="S13" s="41" t="str">
        <x:v>Trung bình</x:v>
      </x:c>
      <x:c r="T13" s="41"/>
      <x:c r="U13" s="41" t="str">
        <x:v>R2026.08</x:v>
      </x:c>
      <x:c r="V13" s="41"/>
      <x:c r="W13" s="41" t="str">
        <x:v>Dev</x:v>
      </x:c>
    </x:row>
    <x:row r="14">
      <x:c r="A14" s="41" t="str">
        <x:v>In Progress</x:v>
      </x:c>
      <x:c r="B14" s="42" t="n">
        <x:v>0.5</x:v>
      </x:c>
      <x:c r="C14" s="41" t="str">
        <x:v>Đang làm</x:v>
      </x:c>
      <x:c r="D14" s="41" t="n">
        <x:v>3</x:v>
      </x:c>
      <x:c r="E14" s="41" t="str">
        <x:v>P2 - Medium</x:v>
      </x:c>
      <x:c r="F14" s="41" t="n">
        <x:v>2</x:v>
      </x:c>
      <x:c r="G14" s="41" t="n">
        <x:v>5</x:v>
      </x:c>
      <x:c r="H14" s="41"/>
      <x:c r="I14" s="41" t="str">
        <x:v>Task</x:v>
      </x:c>
      <x:c r="J14" s="41"/>
      <x:c r="K14" s="41" t="str">
        <x:v>Sprint 22</x:v>
      </x:c>
      <x:c r="L14" s="41"/>
      <x:c r="M14" s="41" t="str">
        <x:v>Lê Chi</x:v>
      </x:c>
      <x:c r="N14" s="41"/>
      <x:c r="O14" s="41"/>
      <x:c r="P14" s="41"/>
      <x:c r="Q14" s="41"/>
      <x:c r="R14" s="41"/>
      <x:c r="S14" s="41" t="str">
        <x:v>Cao</x:v>
      </x:c>
      <x:c r="T14" s="41"/>
      <x:c r="U14" s="41" t="str">
        <x:v>R2026.09</x:v>
      </x:c>
      <x:c r="V14" s="41"/>
      <x:c r="W14" s="41" t="str">
        <x:v>Staging</x:v>
      </x:c>
    </x:row>
    <x:row r="15">
      <x:c r="A15" s="41" t="str">
        <x:v>Code Review</x:v>
      </x:c>
      <x:c r="B15" s="42" t="n">
        <x:v>0.75</x:v>
      </x:c>
      <x:c r="C15" s="41" t="str">
        <x:v>Đang làm</x:v>
      </x:c>
      <x:c r="D15" s="41" t="n">
        <x:v>4</x:v>
      </x:c>
      <x:c r="E15" s="41" t="str">
        <x:v>P3 - Low</x:v>
      </x:c>
      <x:c r="F15" s="41" t="n">
        <x:v>1</x:v>
      </x:c>
      <x:c r="G15" s="41" t="n">
        <x:v>10</x:v>
      </x:c>
      <x:c r="H15" s="41"/>
      <x:c r="I15" s="41" t="str">
        <x:v>Spike</x:v>
      </x:c>
      <x:c r="J15" s="41"/>
      <x:c r="K15" s="41" t="str">
        <x:v>Sprint 23</x:v>
      </x:c>
      <x:c r="L15" s="41"/>
      <x:c r="M15" s="41" t="str">
        <x:v>Phạm Dũng</x:v>
      </x:c>
      <x:c r="N15" s="41"/>
      <x:c r="O15" s="41"/>
      <x:c r="P15" s="41"/>
      <x:c r="Q15" s="41"/>
      <x:c r="R15" s="41"/>
      <x:c r="S15" s="41" t="str">
        <x:v>N/A</x:v>
      </x:c>
      <x:c r="T15" s="41"/>
      <x:c r="U15" s="41" t="str">
        <x:v>R2026.Q4</x:v>
      </x:c>
      <x:c r="V15" s="41"/>
      <x:c r="W15" s="41" t="str">
        <x:v>Production</x:v>
      </x:c>
    </x:row>
    <x:row r="16">
      <x:c r="A16" s="41" t="str">
        <x:v>QA</x:v>
      </x:c>
      <x:c r="B16" s="42" t="n">
        <x:v>0.85</x:v>
      </x:c>
      <x:c r="C16" s="41" t="str">
        <x:v>Đang làm</x:v>
      </x:c>
      <x:c r="D16" s="41" t="n">
        <x:v>5</x:v>
      </x:c>
      <x:c r="E16" s="41"/>
      <x:c r="F16" s="41"/>
      <x:c r="G16" s="41"/>
      <x:c r="H16" s="41"/>
      <x:c r="I16" s="41" t="str">
        <x:v>Tech debt</x:v>
      </x:c>
      <x:c r="J16" s="41"/>
      <x:c r="K16" s="41" t="str">
        <x:v>Sprint 24</x:v>
      </x:c>
      <x:c r="L16" s="41"/>
      <x:c r="M16" s="41" t="str">
        <x:v>Hoàng Em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</x:row>
    <x:row r="17">
      <x:c r="A17" s="41" t="str">
        <x:v>Blocked</x:v>
      </x:c>
      <x:c r="B17" s="42" t="n">
        <x:v>0.5</x:v>
      </x:c>
      <x:c r="C17" s="41" t="str">
        <x:v>Đang làm</x:v>
      </x:c>
      <x:c r="D17" s="41" t="n">
        <x:v>6</x:v>
      </x:c>
      <x:c r="E17" s="41"/>
      <x:c r="F17" s="41"/>
      <x:c r="G17" s="41"/>
      <x:c r="H17" s="41"/>
      <x:c r="I17" s="41" t="str">
        <x:v>Improvement</x:v>
      </x:c>
      <x:c r="J17" s="41"/>
      <x:c r="K17" s="41" t="str">
        <x:v>Sprint 25</x:v>
      </x:c>
      <x:c r="L17" s="41"/>
      <x:c r="M17" s="41" t="str">
        <x:v>Võ Giang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</x:row>
    <x:row r="18">
      <x:c r="A18" s="41" t="str">
        <x:v>Done</x:v>
      </x:c>
      <x:c r="B18" s="42" t="n">
        <x:v>1</x:v>
      </x:c>
      <x:c r="C18" s="41" t="str">
        <x:v>Đóng</x:v>
      </x:c>
      <x:c r="D18" s="41" t="n">
        <x:v>7</x:v>
      </x:c>
      <x:c r="E18" s="41"/>
      <x:c r="F18" s="41"/>
      <x:c r="G18" s="41"/>
      <x:c r="H18" s="41"/>
      <x:c r="I18" s="41"/>
      <x:c r="J18" s="41"/>
      <x:c r="K18" s="41" t="str">
        <x:v>Sprint 26</x:v>
      </x:c>
      <x:c r="L18" s="41"/>
      <x:c r="M18" s="41" t="str">
        <x:v>Đặng Hà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</x:row>
    <x:row r="19">
      <x:c r="A19" s="41" t="str">
        <x:v>Cancelled</x:v>
      </x:c>
      <x:c r="B19" s="42" t="n">
        <x:v>1</x:v>
      </x:c>
      <x:c r="C19" s="41" t="str">
        <x:v>Đóng</x:v>
      </x:c>
      <x:c r="D19" s="41" t="n">
        <x:v>8</x:v>
      </x:c>
      <x:c r="E19" s="41"/>
      <x:c r="F19" s="41"/>
      <x:c r="G19" s="41"/>
      <x:c r="H19" s="41"/>
      <x:c r="I19" s="41"/>
      <x:c r="J19" s="41"/>
      <x:c r="K19" s="41" t="str">
        <x:v>Sprint 27</x:v>
      </x:c>
      <x:c r="L19" s="41"/>
      <x:c r="M19" s="41" t="str">
        <x:v>Bùi Khang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 t="str">
        <x:v>Sprint 28</x:v>
      </x:c>
      <x:c r="L20" s="41"/>
      <x:c r="M20" s="41" t="str">
        <x:v>PO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 t="str">
        <x:v>Sprint 29</x:v>
      </x:c>
      <x:c r="L21" s="41"/>
      <x:c r="M21" s="41" t="str">
        <x:v>QA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</x:row>
  </x:sheetData>
  <x:mergeCells>
    <x:mergeCell ref="A1:W1"/>
    <x:mergeCell ref="A2:W2"/>
    <x:mergeCell ref="A4:D4"/>
  </x:mergeCells>
  <x:dataValidations count="1">
    <x:dataValidation type="list" sqref="B5">
      <x:formula1>'Cấu hình'!$K$12:$K$21</x:formula1>
    </x:dataValidation>
  </x:dataValidations>
  <x:pageMargins left="0.7" right="0.7" top="0.75" bottom="0.75" header="0.3" footer="0.3"/>
  <x:legacyDrawing xmlns:r="http://schemas.openxmlformats.org/officeDocument/2006/relationships" r:id="R15f891786fa24c0d"/>
</x:worksheet>
</file>